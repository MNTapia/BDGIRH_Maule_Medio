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560" yWindow="600" windowWidth="9930" windowHeight="5040" tabRatio="716"/>
  </bookViews>
  <sheets>
    <sheet name="RelDocs" sheetId="1" r:id="rId1"/>
    <sheet name="Ficha" sheetId="13" r:id="rId2"/>
    <sheet name="Imprimir" sheetId="14" r:id="rId3"/>
    <sheet name="ListaValores" sheetId="2" r:id="rId4"/>
    <sheet name="Graficos" sheetId="9" r:id="rId5"/>
  </sheets>
  <definedNames>
    <definedName name="_xlnm._FilterDatabase" localSheetId="3" hidden="1">ListaValores!$C$1:$C$118</definedName>
    <definedName name="_xlnm._FilterDatabase" localSheetId="0" hidden="1">RelDocs!$S$2:$S$176</definedName>
    <definedName name="_xlnm.Print_Area" localSheetId="1">Ficha!$C$5:$H$23</definedName>
  </definedNames>
  <calcPr calcId="145621"/>
  <pivotCaches>
    <pivotCache cacheId="0" r:id="rId6"/>
    <pivotCache cacheId="1" r:id="rId7"/>
  </pivotCaches>
</workbook>
</file>

<file path=xl/calcChain.xml><?xml version="1.0" encoding="utf-8"?>
<calcChain xmlns="http://schemas.openxmlformats.org/spreadsheetml/2006/main">
  <c r="E142" i="1" l="1"/>
  <c r="M142" i="1"/>
  <c r="E143" i="1"/>
  <c r="M143" i="1"/>
  <c r="E144" i="1"/>
  <c r="M144" i="1"/>
  <c r="E145" i="1" l="1"/>
  <c r="M145" i="1"/>
  <c r="E36" i="1" l="1"/>
  <c r="M36" i="1"/>
  <c r="E28" i="1"/>
  <c r="M28" i="1"/>
  <c r="E27" i="1"/>
  <c r="M27" i="1"/>
  <c r="E24" i="1"/>
  <c r="M24" i="1"/>
  <c r="E23" i="1"/>
  <c r="M23" i="1"/>
  <c r="E34" i="1"/>
  <c r="M34" i="1"/>
  <c r="E133" i="1"/>
  <c r="E138" i="1"/>
  <c r="E114" i="1"/>
  <c r="E132" i="1"/>
  <c r="E123" i="1"/>
  <c r="E136" i="1" l="1"/>
  <c r="E140" i="1"/>
  <c r="E129" i="1"/>
  <c r="E124" i="1"/>
  <c r="E119" i="1"/>
  <c r="E135" i="1"/>
  <c r="E103" i="1"/>
  <c r="E110" i="1"/>
  <c r="E121" i="1" l="1"/>
  <c r="M121" i="1"/>
  <c r="E149" i="1" l="1"/>
  <c r="M149" i="1"/>
  <c r="E39" i="1"/>
  <c r="M39" i="1"/>
  <c r="E38" i="1"/>
  <c r="M38" i="1"/>
  <c r="E47" i="1" l="1"/>
  <c r="M47" i="1"/>
  <c r="E37" i="1" l="1"/>
  <c r="M37" i="1"/>
  <c r="E29" i="1"/>
  <c r="M29" i="1"/>
  <c r="M81" i="1" l="1"/>
  <c r="E81" i="1"/>
  <c r="F11" i="14" l="1"/>
  <c r="C2" i="14" s="1"/>
  <c r="E25" i="1" l="1"/>
  <c r="M25" i="1"/>
  <c r="E10" i="1" l="1"/>
  <c r="M10" i="1"/>
  <c r="M3" i="1"/>
  <c r="E3" i="1"/>
  <c r="E100" i="1" l="1"/>
  <c r="M100" i="1"/>
  <c r="M101" i="1"/>
  <c r="E101" i="1"/>
  <c r="E80" i="1" l="1"/>
  <c r="M80" i="1"/>
  <c r="E82" i="1" l="1"/>
  <c r="M82" i="1"/>
  <c r="E99" i="1"/>
  <c r="M99" i="1"/>
  <c r="E48" i="1"/>
  <c r="M48" i="1"/>
  <c r="E166" i="1"/>
  <c r="M166" i="1"/>
  <c r="M2" i="1"/>
  <c r="M4" i="1"/>
  <c r="M5" i="1"/>
  <c r="M6" i="1"/>
  <c r="M7" i="1"/>
  <c r="M8" i="1"/>
  <c r="M9" i="1"/>
  <c r="M11" i="1"/>
  <c r="M12" i="1"/>
  <c r="M13" i="1"/>
  <c r="M14" i="1"/>
  <c r="M15" i="1"/>
  <c r="M16" i="1"/>
  <c r="M17" i="1"/>
  <c r="M19" i="1"/>
  <c r="M18" i="1"/>
  <c r="M21" i="1"/>
  <c r="M20" i="1"/>
  <c r="M22" i="1"/>
  <c r="M31" i="1"/>
  <c r="M32" i="1"/>
  <c r="M30" i="1"/>
  <c r="M35" i="1"/>
  <c r="M26" i="1"/>
  <c r="M33" i="1"/>
  <c r="M40" i="1"/>
  <c r="M41" i="1"/>
  <c r="M42" i="1"/>
  <c r="M43" i="1"/>
  <c r="M44" i="1"/>
  <c r="M45" i="1"/>
  <c r="M46" i="1"/>
  <c r="M49" i="1"/>
  <c r="M51" i="1"/>
  <c r="M53" i="1"/>
  <c r="M54" i="1"/>
  <c r="M55" i="1"/>
  <c r="M56" i="1"/>
  <c r="M58" i="1"/>
  <c r="M59" i="1"/>
  <c r="M60" i="1"/>
  <c r="M61" i="1"/>
  <c r="M52" i="1"/>
  <c r="M57" i="1"/>
  <c r="M62" i="1"/>
  <c r="M63" i="1"/>
  <c r="M64" i="1"/>
  <c r="M65" i="1"/>
  <c r="M66" i="1"/>
  <c r="M67" i="1"/>
  <c r="M50" i="1"/>
  <c r="M71" i="1"/>
  <c r="M68" i="1"/>
  <c r="M69" i="1"/>
  <c r="M70" i="1"/>
  <c r="M72" i="1"/>
  <c r="M73" i="1"/>
  <c r="M74" i="1"/>
  <c r="M75" i="1"/>
  <c r="M76" i="1"/>
  <c r="M78" i="1"/>
  <c r="M79" i="1"/>
  <c r="M83" i="1"/>
  <c r="M84" i="1"/>
  <c r="M77" i="1"/>
  <c r="M85" i="1"/>
  <c r="M86" i="1"/>
  <c r="M87" i="1"/>
  <c r="M88" i="1"/>
  <c r="M89" i="1"/>
  <c r="M90" i="1"/>
  <c r="M91" i="1"/>
  <c r="M92" i="1"/>
  <c r="M93" i="1"/>
  <c r="M94" i="1"/>
  <c r="M95" i="1"/>
  <c r="M96" i="1"/>
  <c r="M97" i="1"/>
  <c r="M98" i="1"/>
  <c r="M102" i="1"/>
  <c r="M104" i="1"/>
  <c r="M105" i="1"/>
  <c r="M106" i="1"/>
  <c r="M107" i="1"/>
  <c r="M108" i="1"/>
  <c r="M109" i="1"/>
  <c r="M111" i="1"/>
  <c r="M113" i="1"/>
  <c r="M115" i="1"/>
  <c r="M117" i="1"/>
  <c r="M120" i="1"/>
  <c r="M122" i="1"/>
  <c r="M112" i="1"/>
  <c r="M125" i="1"/>
  <c r="M126" i="1"/>
  <c r="M127" i="1"/>
  <c r="M128" i="1"/>
  <c r="M130" i="1"/>
  <c r="M131" i="1"/>
  <c r="M134" i="1"/>
  <c r="M137" i="1"/>
  <c r="M139" i="1"/>
  <c r="M116" i="1"/>
  <c r="M118" i="1"/>
  <c r="M141" i="1"/>
  <c r="M146" i="1"/>
  <c r="M147" i="1"/>
  <c r="M148" i="1"/>
  <c r="M150" i="1"/>
  <c r="M151" i="1"/>
  <c r="M152" i="1"/>
  <c r="M153" i="1"/>
  <c r="M154" i="1"/>
  <c r="M155" i="1"/>
  <c r="M156" i="1"/>
  <c r="M157" i="1"/>
  <c r="M158" i="1"/>
  <c r="M159" i="1"/>
  <c r="M160" i="1"/>
  <c r="M161" i="1"/>
  <c r="M162" i="1"/>
  <c r="M163" i="1"/>
  <c r="M164" i="1"/>
  <c r="M165" i="1"/>
  <c r="M167" i="1"/>
  <c r="M168" i="1"/>
  <c r="M169" i="1"/>
  <c r="M170" i="1"/>
  <c r="M171" i="1"/>
  <c r="M172" i="1"/>
  <c r="M173" i="1"/>
  <c r="M174" i="1"/>
  <c r="E2" i="1"/>
  <c r="E4" i="1"/>
  <c r="E5" i="1"/>
  <c r="E6" i="1"/>
  <c r="E7" i="1"/>
  <c r="E8" i="1"/>
  <c r="E9" i="1"/>
  <c r="E11" i="1"/>
  <c r="E12" i="1"/>
  <c r="E13" i="1"/>
  <c r="E14" i="1"/>
  <c r="E15" i="1"/>
  <c r="E16" i="1"/>
  <c r="E17" i="1"/>
  <c r="E19" i="1"/>
  <c r="E18" i="1"/>
  <c r="E21" i="1"/>
  <c r="E20" i="1"/>
  <c r="E22" i="1"/>
  <c r="E31" i="1"/>
  <c r="E32" i="1"/>
  <c r="E30" i="1"/>
  <c r="E35" i="1"/>
  <c r="E26" i="1"/>
  <c r="E33" i="1"/>
  <c r="E40" i="1"/>
  <c r="E41" i="1"/>
  <c r="E42" i="1"/>
  <c r="E43" i="1"/>
  <c r="E44" i="1"/>
  <c r="E45" i="1"/>
  <c r="E46" i="1"/>
  <c r="E49" i="1"/>
  <c r="E51" i="1"/>
  <c r="E53" i="1"/>
  <c r="E54" i="1"/>
  <c r="E55" i="1"/>
  <c r="E56" i="1"/>
  <c r="E58" i="1"/>
  <c r="E59" i="1"/>
  <c r="E60" i="1"/>
  <c r="E61" i="1"/>
  <c r="E52" i="1"/>
  <c r="E57" i="1"/>
  <c r="E62" i="1"/>
  <c r="E63" i="1"/>
  <c r="E64" i="1"/>
  <c r="E65" i="1"/>
  <c r="E66" i="1"/>
  <c r="E67" i="1"/>
  <c r="E50" i="1"/>
  <c r="E71" i="1"/>
  <c r="E68" i="1"/>
  <c r="E69" i="1"/>
  <c r="E70" i="1"/>
  <c r="E72" i="1"/>
  <c r="E73" i="1"/>
  <c r="E74" i="1"/>
  <c r="E75" i="1"/>
  <c r="E76" i="1"/>
  <c r="E78" i="1"/>
  <c r="E79" i="1"/>
  <c r="E83" i="1"/>
  <c r="E84" i="1"/>
  <c r="E77" i="1"/>
  <c r="E85" i="1"/>
  <c r="E86" i="1"/>
  <c r="E87" i="1"/>
  <c r="E88" i="1"/>
  <c r="E89" i="1"/>
  <c r="E90" i="1"/>
  <c r="E91" i="1"/>
  <c r="E92" i="1"/>
  <c r="E93" i="1"/>
  <c r="E94" i="1"/>
  <c r="E95" i="1"/>
  <c r="E96" i="1"/>
  <c r="E97" i="1"/>
  <c r="E98" i="1"/>
  <c r="E102" i="1"/>
  <c r="E104" i="1"/>
  <c r="E105" i="1"/>
  <c r="E106" i="1"/>
  <c r="E107" i="1"/>
  <c r="E108" i="1"/>
  <c r="E109" i="1"/>
  <c r="E111" i="1"/>
  <c r="E113" i="1"/>
  <c r="E115" i="1"/>
  <c r="E117" i="1"/>
  <c r="E120" i="1"/>
  <c r="E122" i="1"/>
  <c r="E112" i="1"/>
  <c r="E125" i="1"/>
  <c r="E126" i="1"/>
  <c r="E127" i="1"/>
  <c r="E128" i="1"/>
  <c r="E130" i="1"/>
  <c r="E131" i="1"/>
  <c r="E134" i="1"/>
  <c r="E137" i="1"/>
  <c r="E139" i="1"/>
  <c r="E116" i="1"/>
  <c r="E118" i="1"/>
  <c r="E141" i="1"/>
  <c r="E146" i="1"/>
  <c r="E147" i="1"/>
  <c r="E148" i="1"/>
  <c r="E150" i="1"/>
  <c r="E151" i="1"/>
  <c r="E152" i="1"/>
  <c r="E153" i="1"/>
  <c r="E154" i="1"/>
  <c r="E155" i="1"/>
  <c r="E156" i="1"/>
  <c r="E157" i="1"/>
  <c r="E158" i="1"/>
  <c r="E159" i="1"/>
  <c r="E160" i="1"/>
  <c r="E161" i="1"/>
  <c r="E162" i="1"/>
  <c r="E163" i="1"/>
  <c r="E164" i="1"/>
  <c r="E165" i="1"/>
  <c r="E167" i="1"/>
  <c r="E168" i="1"/>
  <c r="E169" i="1"/>
  <c r="E170" i="1"/>
  <c r="E171" i="1"/>
  <c r="E172" i="1"/>
  <c r="E173" i="1"/>
  <c r="E174" i="1"/>
  <c r="C12" i="13" l="1"/>
  <c r="D10" i="13"/>
  <c r="E14" i="13"/>
  <c r="H12" i="13"/>
  <c r="C20" i="13"/>
  <c r="C17" i="13"/>
  <c r="C14" i="13"/>
  <c r="F12" i="13"/>
  <c r="G14" i="13"/>
</calcChain>
</file>

<file path=xl/comments1.xml><?xml version="1.0" encoding="utf-8"?>
<comments xmlns="http://schemas.openxmlformats.org/spreadsheetml/2006/main">
  <authors>
    <author>Pablo Garcia Rubi</author>
  </authors>
  <commentList>
    <comment ref="C10" authorId="0">
      <text>
        <r>
          <rPr>
            <b/>
            <sz val="9"/>
            <color indexed="81"/>
            <rFont val="Tahoma"/>
            <family val="2"/>
          </rPr>
          <t>Ficha bibliográfica:</t>
        </r>
        <r>
          <rPr>
            <sz val="9"/>
            <color indexed="81"/>
            <rFont val="Tahoma"/>
            <family val="2"/>
          </rPr>
          <t xml:space="preserve">
 Introducir referencia</t>
        </r>
      </text>
    </comment>
  </commentList>
</comments>
</file>

<file path=xl/sharedStrings.xml><?xml version="1.0" encoding="utf-8"?>
<sst xmlns="http://schemas.openxmlformats.org/spreadsheetml/2006/main" count="2033" uniqueCount="1013">
  <si>
    <t>Título</t>
  </si>
  <si>
    <t>Ámbito territorial</t>
  </si>
  <si>
    <t>CADE INDIPE</t>
  </si>
  <si>
    <t>Erik Muñoz Henriquez</t>
  </si>
  <si>
    <t>Regional</t>
  </si>
  <si>
    <t>AQUATERRA INGENIEROS LTDA</t>
  </si>
  <si>
    <t>Nacional</t>
  </si>
  <si>
    <t>SUBSECRETARÍA DE AGRICULTURA</t>
  </si>
  <si>
    <t>IdeaConsulturo</t>
  </si>
  <si>
    <t>KRAL CONSULTORES LIMITADA</t>
  </si>
  <si>
    <t>Ricardo Edwars</t>
  </si>
  <si>
    <t>ONEMI</t>
  </si>
  <si>
    <t>Pontificia Universidad Católica de Chile\Centro de Cambio Global UC</t>
  </si>
  <si>
    <t>JUN KUROSAWA</t>
  </si>
  <si>
    <t>Ministerio de obras publicas</t>
  </si>
  <si>
    <t>Estefania Peredo Ñuñez</t>
  </si>
  <si>
    <t>ODEPA</t>
  </si>
  <si>
    <t>Eventos Extremos</t>
  </si>
  <si>
    <t>Ministerio Interior</t>
  </si>
  <si>
    <t>Provincial</t>
  </si>
  <si>
    <t>Comunal</t>
  </si>
  <si>
    <t>Universidad de Chile</t>
  </si>
  <si>
    <t>CA</t>
  </si>
  <si>
    <t>EH</t>
  </si>
  <si>
    <t>Agencia Internacional para el desarrollo</t>
  </si>
  <si>
    <t>MA</t>
  </si>
  <si>
    <t>Gobierno de Chile</t>
  </si>
  <si>
    <t>CORFO</t>
  </si>
  <si>
    <t>ONEMI-SHOA</t>
  </si>
  <si>
    <t>RODHOS ASESORIAS Y PROYECTOS LTDA</t>
  </si>
  <si>
    <t>GUAIQUIVILO CONSULTORÍA PROFESIONAL</t>
  </si>
  <si>
    <t>Direccion Regional de Maule Departamento administracion de RH</t>
  </si>
  <si>
    <t>LUIS ARRAU DEL CANTO</t>
  </si>
  <si>
    <t>RIO LONGAVI LTDA</t>
  </si>
  <si>
    <t>CONIC BF INGENIEROS CIVILES CONSULTORES LTDA</t>
  </si>
  <si>
    <t>Daniela Paz Rodrieguez</t>
  </si>
  <si>
    <t>ERST R. HAJEK</t>
  </si>
  <si>
    <t>GCF Ingenieros consultores</t>
  </si>
  <si>
    <t>Revista Interamericana de Ambiente y Turismo</t>
  </si>
  <si>
    <t>Dirección Regional de Planeamiento</t>
  </si>
  <si>
    <t>Universidad Católica/TECO Group/Ministerio de Energia</t>
  </si>
  <si>
    <t>URBE Arquitectos</t>
  </si>
  <si>
    <t>MINVU Regional del Maule</t>
  </si>
  <si>
    <t>JULIO SANDOVAL JERIA</t>
  </si>
  <si>
    <t>CONIC-BF Ingenieros Civiles Consultores</t>
  </si>
  <si>
    <t>FIGUEIREDO FERRAZ Consultoría e Ingeniería de Proyecto Ltda</t>
  </si>
  <si>
    <t>División de Estudios y desarrollo</t>
  </si>
  <si>
    <t>CONAMA</t>
  </si>
  <si>
    <t>Codigo</t>
  </si>
  <si>
    <t>Etiquetas de fila</t>
  </si>
  <si>
    <t>Total general</t>
  </si>
  <si>
    <t>Año</t>
  </si>
  <si>
    <t>Consultoría Luis Arrau del Canto</t>
  </si>
  <si>
    <t>Prisma Ingeniería Ltda.</t>
  </si>
  <si>
    <t>Ministerio de Energia</t>
  </si>
  <si>
    <t>MMA</t>
  </si>
  <si>
    <t>CONTAMINACIÓN DEL AGUA EN LA REGIÓN DEL MAULE Y BIOBÍO</t>
  </si>
  <si>
    <t>ESTRATEGIA NACIONAL DE CAMBIO CLIMATICO</t>
  </si>
  <si>
    <t>ANÁLISIS DEL DÉFICIT HÍDRICO EN LA AGRICULTURA, CHILE</t>
  </si>
  <si>
    <t>PLAN NACIONAL DE PROTECCIÓN CIVIL</t>
  </si>
  <si>
    <t>PLAN DE EMERGENCIA PROVINCIAL CAUQUENES</t>
  </si>
  <si>
    <t>PLAN DE EMERGENCIA PROVINCIAL LINARES</t>
  </si>
  <si>
    <t>PLAN DE EMERGENCIA PROVINCIAL TALCA</t>
  </si>
  <si>
    <t>PLAN REGIONAL DE INFRAESTRUCTURA Y GESTIÓN DEL RECURSO HÍDRICO AL 2021 REGIÓN DEL MAULE</t>
  </si>
  <si>
    <t>DIAGNOSTICO DEL RIEGO, Y DRENAJE EN LA VII REGIÓN</t>
  </si>
  <si>
    <t>BASE PARA PLANIFICACIÓN TERRITORIAL EN EL DESARROLLO HIDROELÉCTRICO FUTURO</t>
  </si>
  <si>
    <t>IMPLEMENTACIÓN DE UN SISTEMA DE INFORMACIÓN GEOGRÁFICA PARA LA GESTIÓN DEL PLAN MAESTRO DE AGUAS LLUVIAS DE TALCA</t>
  </si>
  <si>
    <t xml:space="preserve">ASESORÍA PARA EL COMPLEMENTO Y ACTUALIZACIÓN  DE LA MODELACIÓN HIDROLÓGICA  DE LA CUENCA DEL RÍO MAULE </t>
  </si>
  <si>
    <t>ESTUDIO E IMPLEMENTACIÓN DE MODELOS HIDROLÓGICOS ACOPLADOS A SIG PARA EL MANEJO Y PLANIFICACIÓN, CUENCAS DE MAULE, MATAQUITO E ITATA</t>
  </si>
  <si>
    <t>PLAN MAESTRO DE EVACUACION Y DRENAJE DE AGUAS LLUVIAS TALCA</t>
  </si>
  <si>
    <t>PLAN MAESTRO DE EVACUACION Y DRENAJE DE AGUAS LLUVIAS LINARES</t>
  </si>
  <si>
    <t>PLAN MAESTRO DE EVACUACION Y DRENAJE DE AGUAS LLUVIAS CURICO</t>
  </si>
  <si>
    <t>PLAN MAESTRO DE EVACUACION Y DRENAJE DE AGUAS LLUVIAS CONSTITUCIÓN</t>
  </si>
  <si>
    <t>EL RIEGO EN CHILE</t>
  </si>
  <si>
    <t>MEJORAMIENTO DEL RIEGO EN RÍO TENO, REGIÓN DEL MAULE</t>
  </si>
  <si>
    <t>CATASTRO DE INICIATIVAS DE EMBALSES Y CANALES</t>
  </si>
  <si>
    <t>CATASTRO E INSPECCIÓN PRELIMINAR DE EMBALSES UBICADOS EN LAS REGIONES DE VALPARAÍSO, METROPOLITANA, DEL MAULE Y DE LA ARAUCANÍA</t>
  </si>
  <si>
    <t>EMBALSES PARA RIEGO CONSTRUIDOS POR EL ESTADO</t>
  </si>
  <si>
    <t>SISTEMA DE REGADÍO EMBALSE LONGAVI-CEDEC, LINARES, REGIÓN DEL MAULE</t>
  </si>
  <si>
    <t>ESTUDIOS PRE FACTIBILIDAD EMBALSE ESTACIONAL TABUNCO, COMUNA DE CUREPTO, VII REGIÓN AÑO 2000</t>
  </si>
  <si>
    <t>PRE FACTIBILIDAD CONSTRUCCION EMBASE EL CIPRÉS</t>
  </si>
  <si>
    <t>PROBLEMAS AMBIENTALES EN CHILE</t>
  </si>
  <si>
    <t>CENSO AGROPECUARIO FORESTAL_VII</t>
  </si>
  <si>
    <t>CATASTRO ODEPA, REGION DEL MAULE 2015</t>
  </si>
  <si>
    <t>POLÍTICA AMBIENTAL DE LA REGIÓN DEL MAULE</t>
  </si>
  <si>
    <t>POLÍTICA NACIONAL PARA LOS RECURSOS HÍDRICOS 2015</t>
  </si>
  <si>
    <t>ACTUALIZACIÓN DE LA AGENDA DE INNOVACIÓN AGRARIA DE LA REGIÓN DEL MAULE</t>
  </si>
  <si>
    <t>PROGRAMA GESTIÓN TERRITORIAL PARA ZONAS REZAGADAS</t>
  </si>
  <si>
    <t>PROGRAMA DE ORGANIZACIÓN Y CAPACITACIÓN DE COMUNIDADES DE AGUAS, Y DESARROLLO DE ORGANIZACIONES TERRITORIALES EN DIVERSAS REGIONES DEL PAÍS</t>
  </si>
  <si>
    <t>PROGRAMA DE DESARROLLO DEL RIEGO EN TUTUVÉN ETAPA DE EJECUCIÓN</t>
  </si>
  <si>
    <t>EVALUACIÓN DE LOS RECURSOS HÍDRICOS SUPERFICIALES DE LA CUENCA DEL RIO MAULE</t>
  </si>
  <si>
    <t>ANÁLISIS DE LA OFERTA Y DEMANDA DEL SERVICIO ECOSISTÉMICO PROVISIÓN DE AGUA EN CUENCA DE PURAPEL EN NIRIVILO, REGIÓN DEL MAULE, CENTRO-SUR DE CHILE</t>
  </si>
  <si>
    <t>EVALUACIÓN DE LOS RECURSOS HÍDRICOS SUBTERRÁNEOS. SECTORES ACUÍFEROS MAULE MEDIO NORTE Y MAULE MEDIO SUR</t>
  </si>
  <si>
    <t>SAP</t>
  </si>
  <si>
    <t>SDT 362</t>
  </si>
  <si>
    <t>Medio Ambiente</t>
  </si>
  <si>
    <t>CC</t>
  </si>
  <si>
    <t>RH</t>
  </si>
  <si>
    <t>IH</t>
  </si>
  <si>
    <t>EX</t>
  </si>
  <si>
    <t>OTROS</t>
  </si>
  <si>
    <t>COMUNIDADES DE AGUA. CANALISTAS</t>
  </si>
  <si>
    <t>CAMBIOS TERRITORIALES Y TECNOLOGICOS EN EL RIEGO AGRICOLA EN CHILE ENTRE LOS AÑOS 1997 Y 2007</t>
  </si>
  <si>
    <t>DT</t>
  </si>
  <si>
    <t>Desarrollo Territorial</t>
  </si>
  <si>
    <t>Temática</t>
  </si>
  <si>
    <t>Calidad del Agua</t>
  </si>
  <si>
    <t>Cambio Climático</t>
  </si>
  <si>
    <t>Estaciones Hidrométricas</t>
  </si>
  <si>
    <t>Infraestructura Hidráulica</t>
  </si>
  <si>
    <t>Recursos Hídricos</t>
  </si>
  <si>
    <t>SilvoAgroPecuario</t>
  </si>
  <si>
    <t>ID</t>
  </si>
  <si>
    <t>MEJORAMIENTO DE CALIDAD DE AGUAS DE RIEGO</t>
  </si>
  <si>
    <t xml:space="preserve">Nº Serie DGA (SEB, SIT, SDT) </t>
  </si>
  <si>
    <t>Cuenca Maule</t>
  </si>
  <si>
    <t>Cuenca Mataquito</t>
  </si>
  <si>
    <t>Cuencas Costeras</t>
  </si>
  <si>
    <t>Subcuenca del Maule</t>
  </si>
  <si>
    <t>Subcuenca del Mataquito</t>
  </si>
  <si>
    <t>Tipo de documento</t>
  </si>
  <si>
    <t>Plan, Política, Programa</t>
  </si>
  <si>
    <t>Tesis</t>
  </si>
  <si>
    <t>Catastro</t>
  </si>
  <si>
    <t>DIAGNOSTICO Y CLASIFICACIÓN DE LOS CURSOS Y CUERPOS DE AGUA SEGÚN OBJETIVOS DE CALIDAD, CUENCA MATAQUITO</t>
  </si>
  <si>
    <t>DIAGNOSTICO Y CLASIFICACIÓN DE LOS CURSOS Y CUERPOS DE AGUA SEGÚN OBJETIVOS DE CALIDAD. CUENCA DEL RÍO MAULE</t>
  </si>
  <si>
    <t>Sociedad Río Longaví</t>
  </si>
  <si>
    <t>PROGRAMA GESTIÓN DE LA CALIDAD DEL AGUA POR PARTE DE ORGANIZACIONES DE REGANTES. INFORME FINAL</t>
  </si>
  <si>
    <t>Artículo Técnico</t>
  </si>
  <si>
    <t>Revista Interamericana de Ambiente y Turismo Volumen 6</t>
  </si>
  <si>
    <t>Comité Nacional Asesor sobre Cambio Global</t>
  </si>
  <si>
    <t>ESTUDIO DE LA VARIABILIDAD CLIMATICA EN CHILE PARA EL SIGLO XXI. INFORME FINAL</t>
  </si>
  <si>
    <t>ANÁLISIS DE VULNERABILIDAD DE LOS RECURSOS HÍDRICOS DE CHILE FRENTE A ESCENARIOS DE CAMBIO CLIMÁTICO. RÍO PERQUILAUQUEN EN SAN MIGUEL</t>
  </si>
  <si>
    <t>CONAMA/ODEPA</t>
  </si>
  <si>
    <t>DIAGNÓSTICO DE LOS DESAFÍOS PLANTEADOS POR EL CAMBIO CLIMÁTICO EN CHILE. INFORME FINAL</t>
  </si>
  <si>
    <t>Elaboración de la cartografía de erosión potencial y actual de suelos a nivel semidetallado 1:50.000 y generalizado a escala 1:250.000 en todo el país, utilizando técnicas de geomática, teledetección y SIG</t>
  </si>
  <si>
    <t>Centro de Información de Recursos Naturales (CIREN)</t>
  </si>
  <si>
    <t>FORTALECIMIENTO DE CAPACIDADES DE LOS ENCARGADOS DE LA FORMULACIÓN DE POLÍTICAS PARA HACER FRENTE AL CAMBIO CLIMÁTICO EN IBEROAMÉRICA EVALUACIÓN DEL IMPACTO SOCIAL DEL CAMBIO CLIMÁTICO EN CHILE. INFORME FINAL</t>
  </si>
  <si>
    <t>Determina los impactos sociales probables a mediano plazo del cambio climático en Chile en el sector silvoagropecuario. Los resultados de esta consultoría servirán para alimentar la estrategia de adaptación que desarrollará el Ministerio de Agricultura, con apoyo del Ministerio de Medio Ambiente, para este sector.</t>
  </si>
  <si>
    <t>PLAN NACIONAL DE ADAPTACIÓN AL CAMBIO CLIMÁTICO. PROPUESTA</t>
  </si>
  <si>
    <t>Centro de Cambio Global UC</t>
  </si>
  <si>
    <t>El Plan de Adaptación Nacional (PAN) está compuesto de tres partes. La primera parte tiene un carácter genérico y conceptual en la cual se busca aclarar conceptos básicos relacionados a la adaptación y al cambio climático y presentar el rol que tiene el gobierno en la tarea de adaptación. En la segunda parte se entrega información de contexto con respecto a los posibles cambios climáticos esperados para el país al igual que los posibles impactos y vulnerabilidades de los distintos sectores. Finalmente, la tercera parte presenta la estructura del PAN propiamente tal, incluyendo la institucionalidad de la adaptación al cambio climático desde el Estado, lineamientos sectoriales, y de implementación del PAN entre otros aspectos claves.</t>
  </si>
  <si>
    <t>Busca integrar protocolos y parámetros que incluyan la incertidumbre del cambio climático dentro de la evaluación de políticas y proyectos de riego,</t>
  </si>
  <si>
    <t>INFORME DIAGNOSTICO Y PROSPECTIVA. PROCESO DE ACTUALIZACION ERD MAULE 2008-2020</t>
  </si>
  <si>
    <t>Presenta los resultados del ejercicio de diagnóstico y prospectiva aplicado a la Región del Maule, desarrollado por el equipo de profesionales de la Universidad de Talca, como parte de los servicios encomendados por parte del Gobierno Regional, a través de su División de Desarrollo Regional (DDR).
Los indicadores IDH del PNUD sitúan a la Región como la de menor desarrollo regional, y a 25 de sus comunas en la mitad inferior del rango nacional; el ICORE (e ICR) ha situado históricamente al Maule entre las 4 regiones peor evaluadas en lo que respecta a los factores determinantes de la competitividad (entre los peor evaluados está el factor Gobierno) mejorando levemente este último año; por su parte, la CASEN ubica a la Región como la quinta de mayor proporción de pobres y con peor situación en vivienda. Los estudios temáticos por su parte, indican que la Región es la de mayor tasa de analfabetismo, con una salud con peores indicadores que el promedio país, y con un mercado laboral complejo marcado por la estacionalidad y mala distribución del ingreso. Los determinantes del desarrollo son variables causales que se pueden agrupar de acuerdo a los cinco subsistemas establecidos en la ERD 2000-2006, referidos principalmente a la economía regional; territorio, infraestructura y medio ambiente; aspectos sociales; y a la identidad, cultura y patrimonio. Además, de un nuevo determinante denominado gobernabilidad y gobernanza regional, representada a través del sistema público, el cual debe actuar como un catalizador del desarrollo.</t>
  </si>
  <si>
    <t>ACTUALIZACIÓN PLAN REGIONAL DE DESARROLLO URBANO. MEMORIA</t>
  </si>
  <si>
    <t>PLAN REGIONAL DE GOBIERNO. REGIÓN DEL MAULE 2014-2018</t>
  </si>
  <si>
    <t>GUÍA ANÁLISIS Y ZONIFICACIÓN DE CUENCAS  HIDROGRÁFICAS PARA EL ORDENAMIENTO TERRITORIAL</t>
  </si>
  <si>
    <t>Fundación para la Innovación Agraria</t>
  </si>
  <si>
    <t>Ministerio de Agricultura</t>
  </si>
  <si>
    <t>Presentación</t>
  </si>
  <si>
    <t>Universidad de Talca</t>
  </si>
  <si>
    <t>Referencia</t>
  </si>
  <si>
    <t>FICHA BIBLIOGRÁFICA</t>
  </si>
  <si>
    <t>Autor</t>
  </si>
  <si>
    <t>Mandante</t>
  </si>
  <si>
    <t>Resumen</t>
  </si>
  <si>
    <t>Comisión Nacional de Riego (CNR)</t>
  </si>
  <si>
    <t>DIRECCIÓN DE PLANEAMIENTO</t>
  </si>
  <si>
    <t>CEDEC Ltda</t>
  </si>
  <si>
    <t>ESTUDIO DE SÍNTESIS DE CATASTROS DE USUARIOS DE AGUA E INFRAESTRUCTURAS DE APROVECHAMIENTO.VOLUMEN II</t>
  </si>
  <si>
    <t>SIT6</t>
  </si>
  <si>
    <t>SIT34</t>
  </si>
  <si>
    <t>LEVANTAMIENTO DE BOCATOMAS EN CAUCES NATURALES_V1,V2,V12,V14</t>
  </si>
  <si>
    <t>SIT64</t>
  </si>
  <si>
    <t>LEVANTAMIENTO Y CATASTRO DE BOCATOMAS EN CAUCES NATURALES, II ETAPA. INFORME FINAL</t>
  </si>
  <si>
    <t>SIT66</t>
  </si>
  <si>
    <t>SIT231</t>
  </si>
  <si>
    <t>SIT255</t>
  </si>
  <si>
    <t>ESTUDIO DE PREFACTIBILIDAD PROYECTO CONSTRUCCIÓN DE  EMBALSE DE RIEGO HUEDQUE, COMUNA DE CAUQUENES. INFORME FINAL</t>
  </si>
  <si>
    <t>ARRAU INGENIERÍA E.I.R.L.</t>
  </si>
  <si>
    <t>ÁNALISIS DE LA OFERTA Y DEMANDA DE RECURSOS HÍDRICOS EN CUENCAS CRITICAS DE LOA, RAPEL Y MATAQUITO. VOLUMEN III</t>
  </si>
  <si>
    <t>SIT31</t>
  </si>
  <si>
    <t>DIAGNÓSTICO DE RECURSOS HÍDRICOS EN SECANO INTERIOR Y COSTERO VI A VIII REGIÓN. INFORME FINAL</t>
  </si>
  <si>
    <t>BASES PLAN DIRECTOR PARA LA GESTIÓN DE LOS RECURSOS HÍDRICOS EN LA CUENCA DEL RÍO MAULE, DIAGNÓSTICO. RESUMEN EJECUTIVO</t>
  </si>
  <si>
    <t>SIT90</t>
  </si>
  <si>
    <t>SIT103</t>
  </si>
  <si>
    <t>SIT197</t>
  </si>
  <si>
    <t xml:space="preserve"> ESTIMACIONES DE DEMANDA DE AGUA Y PROYECCIONES FUTURAS. REGIONES V A XII Y REGIÓN METROPOLITANA. INFORME FINAL</t>
  </si>
  <si>
    <t>SIT123</t>
  </si>
  <si>
    <t>SIT194</t>
  </si>
  <si>
    <t>DIAGNÓSTICO DE CAUDALES DISPONIBLES EN CUENCAS NO CONTROLADAS DE RECUPERACIÓN CUENCAS DE MAULE, MATAQUITO Y RAPEL. RESUMEN EJECUTIVO</t>
  </si>
  <si>
    <t>SIT222</t>
  </si>
  <si>
    <t>ESTUDIO HIDROGEOLÓGICO CUENCA DEL RÍO MATAQUITO.INFORME FINAL</t>
  </si>
  <si>
    <t>ACTUALIZACIÓN DEL CATASTRO DE LA AGROINDUSTRIA HORTOFRUTÍCOLA CHILENA. RESUMEN EJECUTIVO</t>
  </si>
  <si>
    <t>PROGRAMA DE TRANSFERENCIA PARA EL DESARROLLO DEL RIEGO EN ANCOA. ETAPA EJECUCIÓN. INFORME FINAL</t>
  </si>
  <si>
    <t>Cuenta de Temática</t>
  </si>
  <si>
    <t>Cuenta de Tipo de documento</t>
  </si>
  <si>
    <t>PLAN DE MANEJO RESERVA NACIONAL LOS BELLOTOS DEL MELADO</t>
  </si>
  <si>
    <t>LAS AREAS SILVESTRES PROTEGIDAS PRIVADAS EN CHILE</t>
  </si>
  <si>
    <t>CODEFF</t>
  </si>
  <si>
    <t>ESTRATEGIA Y PLAN DE ACCION PARA LA BIODIVERSIDAD EN LA VII REGIÓN DEL MAULE</t>
  </si>
  <si>
    <t>CONAMA-CONAF-SAG-INIA-DGA-SERNAPESCA-UTAL-UCM</t>
  </si>
  <si>
    <t>FRAGMENTACIÓN Y DINÁMICA DE REGENERACIÓN DEL BOSQUE MAULINO: DIAGNÓSTICO ACTUAL Y PERSPECTIVAS FUTURAS</t>
  </si>
  <si>
    <t>ANÁLISIS DE REPRESENTATIVIDAD ECOSISTÉMICA DE LAS ÁREAS PROTEGIDAS PÚBLICAS Y PRIVADAS EN CHILE. INFORME FINAL</t>
  </si>
  <si>
    <t>CONTROL Y SEGUIMIENTO DEL CUMPLIMIENTO DE RESOLUCIONES DE CALIFICACIÓN AMBIENTAL, FASE I. INFORME FINAL</t>
  </si>
  <si>
    <t>GISMA CONSULTORES</t>
  </si>
  <si>
    <t>LA OCDE Y EL MEDIO AMBIENTE EN CHILE</t>
  </si>
  <si>
    <t>OCEDE</t>
  </si>
  <si>
    <t>DEFORESTACIÓN EN ECOSISTEMAS TEMPLADOS DE LA PRECORDILLERA ANDINA DEL CENTRO-SUR DE CHILE</t>
  </si>
  <si>
    <t>LAS ÁREAS PROTEGIDAS DE CHILE  ANTECEDENTES, INSTITUCIONALIDAD, ESTADÍSTICAS Y DESAFÍOS</t>
  </si>
  <si>
    <t>ENDESA CHILE</t>
  </si>
  <si>
    <t>SUSTENTABILIDAD AMBIENTAL PARA EL DESARROLLO</t>
  </si>
  <si>
    <t>Fundaccion Terram</t>
  </si>
  <si>
    <t xml:space="preserve">APLICACIÓN DE LOS CRITERIOS DE LA UNIÓN INTERNACIONAL PARA LA CONSERVACIÓN DE LA NATURALEZA (IUCN) PARA LA EVALUACIÓN DE RIESGO DE LOS ECOSISTEMAS TERRESTRES DE CHILE </t>
  </si>
  <si>
    <t>Universidad Católica de Chile</t>
  </si>
  <si>
    <t>SEGUNDO REPORTE DEL ESTADO MEDIO AMBIENTE</t>
  </si>
  <si>
    <t>INE</t>
  </si>
  <si>
    <t>AREAS RESTRINGIDAS MAULE</t>
  </si>
  <si>
    <t>Este documento entrega una revisión sobre la normativa acerca de las ASP privadas, como se estructura en Chile este modelo de protección. Además, entrega una primera aproximación sobre el listado y caracterización de las unidades de áreas privadas en el país.</t>
  </si>
  <si>
    <t>La politica de la Región del Maule tiene por objetivo hacer ambientalmente sustentable el proceso de desarrollo, velando por el derecho a vivir en un medio ambiente libre de contaminación, la protección del medio ambiente, la preservación de la naturaleza y la conservación del patrimonio ambiental. El fin último de ella es la calidad de vida de todos los chilenos y de las generaciones futuras. Para la versión final de la politica se recogieron antecedentes y opiniones de los diversos sectores ciudadanos e institucionales de la región</t>
  </si>
  <si>
    <t>La Estrategia corresponde a un cuerpo estructurado de objetivos y prioridades que consideren el rol de los diversos protagonistas involucrados en la conservación y el uso sustentable de la biodiversidad, interesados en disminuir o evitar la pérdida de diversidad biológica de nuestro territorio. Su objetivo principal corresponde a "conservar la biodiversidad nativa regional a través de la mantención de la sustentabilidad de los ecosistemas y sus especies".</t>
  </si>
  <si>
    <t>Entendiendo a la fragmentación como un fenomeno derivado de actividades antropicas, este documento es relevante en cuanto revisa un estudio de caso sobre los efectos de la fragmentación en el bosque maulino. La importancia de revisar estos antecedentes corresponde a que se ha reconocido un alto grado de fragmentación en las áreas silvestres de la Región del Maule.</t>
  </si>
  <si>
    <t>Este documento identifica la representación actual del sistema de protección oficial existente y de evaluar el aporte del resto de los sistemas de protección existentes en Chile, se desarrollo un análisis de representatividad ecosistémica, utilizando para la parte terrestres a la vegetación zonal como descriptor de ecosistemas y a la parte marina una clasificación de zonas zoogeográficas.</t>
  </si>
  <si>
    <t>El presente estudio se enmarca dentro de los compromisos adquiridos en cada una de las RCA de proyectos donde la DGA ha tenido competencia ambiental directa, respecto de la conservación y protección de los recursos hídricos, superficiales y subterráneos, teniendo como idea central levantar y conocer toda la información generada desde el año 1997 hasta la actualidad, en las variables ambientales que dicen relación con la competencia de la DGA, siendo necesario el análisis de la información levantada para cada proyecto.</t>
  </si>
  <si>
    <t>Este documento da cuenta de un análisis multitemporal para determinar los cambios en la cobertura del suelo en una zona de la precordillera andina de la Región del Maule, Chile. Para ello se utilizaron imágenes satelitales de los años 1989 y 2003, y se analizaron las causas probables de la deforestación del bosque nativo presente en estos ecosistemas.</t>
  </si>
  <si>
    <t>Documento preparado por el Ministerio de Medio Ambiente, donde este capitulo se refiere a la contaminación del aire, primero desde una perspectiva general y luego para centrarse en las regiones del país. De esto, hace referencia sobre los impactos de la región del Maule.</t>
  </si>
  <si>
    <t>Documento preparado por el Ministerio de Medio Ambiente, donde este capitulo se refiere a la contaminación de los suelos, primero desde una perspectiva general y luego para centrarse en las regiones del país. De esto, hace referencia sobre los impactos de la región del Maule.</t>
  </si>
  <si>
    <t>El Instituto Nacional de Estadísticas (INE), entrega  a disposición de la comunidad nacional e internacional la versión 2015 del Informe Anual de Estadísticas del Medio Ambiente. El procesamiento de los datos que se presentan, es riguroso en su presentación, validación y procesamiento, especialmente si se trata de construir series estadísticas comparables.</t>
  </si>
  <si>
    <t xml:space="preserve">El presente informe da respuesta al requerimiento establecido en la legislación vigente y marca un importante avance para la gestión ambiental, como también respecto a la transparencia y el acceso público a la información. </t>
  </si>
  <si>
    <t xml:space="preserve">Este documento es una síntesis de la historia, institucionalidad e información sobre las áreas protegidas de Chile. Contiene información sobre todos los tipos de iniciativas de protección del patrimonio ambiental en zonas marino-costeras y terrestres, emprendidas por la administración pública y una breve descripción de su institucionalidad. El documento está organizado en 3 ejes y 12 capítulos respecto a distintos temas y componentes del medio ambiente. Cada capítulo sigue el modelo Presión-Estado-Respuesta, propuesto por la OCDE para el desarrollo de políticas ambientales e informes </t>
  </si>
  <si>
    <t>Este documento es una revisión sobre los pasivos de la empresa electrica en todas sus actividades. De esto, se menciona los pasivos medio ambientales en la regió  del maule, se caracterizan y se revisa la manera en como la empresa ha actuado en cada caso descrito. De lo anterior, se refiere a las obras que la empresa tienen en la cuenca del Maule y cuantifica la existencia de aridos.</t>
  </si>
  <si>
    <t>Clasificación de la flora y de la fauna silvestre permite evaluar el estado de conservación de nuestra diversidad biológica. De paso, contribuye a disminuir el riesgo de su extinción al permitir priorizar recursos y esfuerzos en aquellas especies más amenazadas. Mandatado por el artículo 37 de la ley General de Bases del Medio Ambiente (Ley 19.300), entró en operaciones el año 2005, mediante el Decreto Supremo Nº 75 de 2004 del Ministerio Secretaría General de la Presidencia, que fue remplazado en abril de 2011 por el Decreto Supremo Nº 29 de 2011 del Ministerio del Medio Ambiente, que corresponde al actual Reglamento para la Clasificación de Especies Silvestres según Estado de Conservación (RCE).</t>
  </si>
  <si>
    <t>Este documento, elaborado por Fundación Terram, entrega un exhaustivo detalle de todos los acontecimiento ambientales que marcaron el año 2014. Hace una revisión de los peores casos, entre los cuales destaca: Derrame de petróleo en la Bahía de Quintero; El Plan de Adaptación de Cambio Climático y Biodiversidad; Propuesta de reforma al Código de Aguas ingresada por el gobierno al Congreso que no incluye la problemática de los glaciares y debilita funciones del Estado; los resultados del Proyecto MAPS; que considera el impulso a la utilización de gas, represas y energía nuclear en lugar de priorizar las ERNC y la eficiencia energética; Planes de Cierre Faenas Mineras, entre otros.</t>
  </si>
  <si>
    <t>Este informe considera los Problemas Ambientales y Criterios de Sustentabilidad de la Región del Maule, los cuales entregan el marco de sustentabilidad del plan, para luego sobre la base de éstos, generar los Objetivos Ambientales del Plan, los cuales consideran los aspectos que son normados en este instrumento y que cuentan con un enfoque ambiental. Asimismo, se analizan las alternativas de estructuración territorial (Escenarios Territoriales) que forman parte de la imagen objetivo que permite el diseño completo de la zonificación y la definición de las normas que forman parte del Plan, generando la respectiva evaluación de éstas, permitiendo analizar además, el escenario que será la base del proyecto de Plan.</t>
  </si>
  <si>
    <t>Este documento presentar una primera prueba a escala nacional de la aplicación de los criterios de la metodología de evaluación del estado de conservación de los ecosistemas de la Unión Internacional para la Conservación para la Naturaleza (IUCN), en los ecosistemas terrestres de Chile, para evaluar su aplicabilidad en el país.</t>
  </si>
  <si>
    <t>El Segundo Reporte del Estado del Medio Ambiente, que constituye una de las nuevas obligaciones legales, ha sido elaborado con la colaboración de distintos servicios públicos con competencia ambiental. En esta publicación se puede rescatar las principales tendencias en el ámbito de la gestión ambiental, en la cual además se da cuenta del catastro de puntos de conflictos existentes a nivel nacional, por lo cual existe información relevante sobre la región del Maule.</t>
  </si>
  <si>
    <t>Este documento es un recuento de las acciones que los estamentos públicos desarrollarán en el país, y en especifico en la Región del Maule. Se listan los proyectos, programas, planes, etc., destinados a mejorar la gestión medio ambiental de la zona de estudio.</t>
  </si>
  <si>
    <t>Antecedentes obtenidos desde la Dirección General de Aguas, relativos a información sobre las áreas de restricción existentes en la Región del Maule. Estos corresponden a los acuíferos Teno Lontue y Belco Arenal.</t>
  </si>
  <si>
    <t>POLÍTICAS PÚBLICAS PARA LA ADAPTACIÓN A LOS IMPACTOS DEL CAMBIO CLIMÁTICO EN LA AGRICULTURA DE RIEGO EN CHILE CENTRAL</t>
  </si>
  <si>
    <t>PROYECTO CANAL LINARES. RESUMEN GENERAL</t>
  </si>
  <si>
    <t>Proyecto de Ingeniería</t>
  </si>
  <si>
    <t>Dirección General de Aguas (DGA)</t>
  </si>
  <si>
    <t>Ayala, Cabrera y Asociados Ltda.</t>
  </si>
  <si>
    <t>Gobierno Regional Maule</t>
  </si>
  <si>
    <t>PROCIVIL INGENIERIA LTDA.</t>
  </si>
  <si>
    <t>Dirección de Obras Hidráulicas (DOH)</t>
  </si>
  <si>
    <t>Banco Interamericano de Desarrollo (BID)</t>
  </si>
  <si>
    <t>Gobernación Provincial</t>
  </si>
  <si>
    <t>Ministerio de Medio Ambiente</t>
  </si>
  <si>
    <t>Ministerio de Obras Públicas</t>
  </si>
  <si>
    <t>Ministerio de Medio Ambiente / PENUD</t>
  </si>
  <si>
    <t>Subsecretaría de Desarrollo Regional y Administrativo (SUBDERE)</t>
  </si>
  <si>
    <t>SIGA Ingeniería y Consultoría S.A.</t>
  </si>
  <si>
    <t>Servicio de Evaluación Ambiental (SEA)</t>
  </si>
  <si>
    <t>INFORME ANUAL DE MEDIO AMBIENTE, ENDESA CHILE 2007</t>
  </si>
  <si>
    <t>INFORME ANUAL DE MEDIO AMBIENTE REGIONAL, ENDESA  2012</t>
  </si>
  <si>
    <t>Este documento corresponde al Plan de Manejo que por normativa debe tener cada ASP pública. En el PM se fijan las pautas necesarias para el uso, manejo y desarrollo de la Unidad, durante un período de 10 años. En dicho plan se definen zonas de uso especial, de uso primitivo y de manejo de recursos, dentro de las cuales se desarrollarán los distintos subprogramas de apoyo administrativo, protección, obras y mantenimiento, investigación y manejo de recursos.</t>
  </si>
  <si>
    <t>Este estudio fue realizado por la Universidad de Talca, en el cual se ha levantando información primaria sobre la percepción de los principales focos de contaminación y elementos perjudiciales para el medio natural y urbano de la región del Maule.</t>
  </si>
  <si>
    <t>ANÁLISIS DE VULNERABILIDAD SILVOAGROPECUARIA, RECURSOS HÍDRICOS Y EDÁFICOS DE CHILE FRENTE A ESCENARIOS DE CAMBIO CLIMÁTICO. INFORME FINAL</t>
  </si>
  <si>
    <t>DETERMINACIÓN DE LA EROSIÓN ACTUAL Y POTENCIAL DE LOS SUELOS. REGIÓN DEL MAULE. SÍNTESIS DE RESULTADOS</t>
  </si>
  <si>
    <t>GESTIÓN REGIONAL PLAN INVIERNO 2015. INFORME EJECUTIVO Nº 1</t>
  </si>
  <si>
    <t>FAO/Ministerio de Agricultura</t>
  </si>
  <si>
    <t>ANALISIS Y VALORACION DE LA FUNCIONALIDAD DE LA RED FLUVIOMETRICA Y ASIGNACION DE DERECHOS DE APROVECHAMIENTO. INFORME FINAL</t>
  </si>
  <si>
    <t>ANÁLISIS CRÍTICO DE LAS REDES HIDROMÉTRICAS, REGIONES V A VII Y REGIÓN METROPOLITANA. INFORME FINAL</t>
  </si>
  <si>
    <t>PROTOCOLO ONEMI-DGA. DECLARACIÓN DE ALERTA DE CRECIDAS Y OTRAS MEDIDAS</t>
  </si>
  <si>
    <t>EVENTOS EXTREMOS DE PRECIPITACIÓN Y TEMPERATURA EN CHILE: PROYECCIONES PARA FINES DE SIGLO XXI.</t>
  </si>
  <si>
    <t>Claudia Paola Villarroel</t>
  </si>
  <si>
    <t>PLAN PROVINCIAL DE EMERGENCIA 2014 CURICÓ</t>
  </si>
  <si>
    <t>Gobernación Provincial de Curicó</t>
  </si>
  <si>
    <t>POLÍTICA NACIONAL DE PARA LA GESTIÓN DE RIESGO DE DESASTRES</t>
  </si>
  <si>
    <t>PROTOCOLO ONEMI-SHOA PARA EVENTO DE TSUNAMI EN LAS COSTAS DE CHILE</t>
  </si>
  <si>
    <t>PLAN REGIONAL DE EMERGENCIA. AÑO 2015</t>
  </si>
  <si>
    <t>PLAN COMUNAL DE EMERGENCIA. COMUNA DE CAUQUENES</t>
  </si>
  <si>
    <t>PLAN COMUNAL DE EMERGENCIA. COMUNA DE LONGAVÍ</t>
  </si>
  <si>
    <t>PLAN COMUNAL DE PROTECCIÓN CIVIL Y EMERGENCIA.  PARRAL</t>
  </si>
  <si>
    <t>PLAN COMUNAL DE PROTECCIÓN CIVIL Y EMERGENCIA.  CHANCO</t>
  </si>
  <si>
    <t>PLAN COMUNAL DE PROTECCIÓN CIVIL.  COMUNA DE LINARES</t>
  </si>
  <si>
    <t>PLAN COMUNAL DE PROTECCIÓN CIVIL Y EMERGENCIA.  PELLUHUE</t>
  </si>
  <si>
    <t>PLAN COMUNAL DE EMERGENCIA. COMUNA DE TALCA</t>
  </si>
  <si>
    <t>CATASTRO E INSPECCIÓN PRELIMINAR DE EMBALSES MAYORES. TERCERA ETAPA. SEXTA Y SÉPTIMA REGIONES. VOLUMEN II CATASTRO DE EMBALSES MAYORES 7ª REGIÓN</t>
  </si>
  <si>
    <t>FIGUEIREDO FERRAZ Consultoría e Ingeniería de Proyecto Ltda.</t>
  </si>
  <si>
    <t>CATASTRO DE EMBALSES UBICADOS ENTRE LAS REGIONES DE VALPARAÍSO Y LA ARAUCANÍA. CARTA</t>
  </si>
  <si>
    <t>CATASTRO DE EMBALSES UBICADOS ENTRE LAS REGIONES DE VALPARAÍSO Y LA ARAUCANÍA. INFORME FINAL</t>
  </si>
  <si>
    <t>ESTIMACIÓN DEL POTENCIAL DE MICROGENERACIÓN ASOCIADO A OBRAS DE RIEGO. INFORME FINAL</t>
  </si>
  <si>
    <t>MEDIO AMBIENTE. INFORME ANUAL  2015</t>
  </si>
  <si>
    <t>DIAGNOSTICO Y CLASIFICACIÓN DE LOS CURSOS Y CUERPOS DE AGUA SEGÚN OBJETIVOS DE CALIDAD. INFORME FINAL</t>
  </si>
  <si>
    <t>ANALISIS DE EVENTOS HIDROMETEOROLOGICOS EXTREMOS EN EL PAIS. CAUDALES MAXIMOS y MINIMOS . VOLUMEN I</t>
  </si>
  <si>
    <t>AC INGENIEROS CONSULTORES LTOA, Ayala Cabrera y Asociados Uda</t>
  </si>
  <si>
    <t>EXPERIENCIAS EN CAPTACION y UTILlZACION DE AGUA EN EL SECANO DE LA VII REGlON, PROVINCIA DE CAUQUENES.</t>
  </si>
  <si>
    <t>Néstor Cabas Monje</t>
  </si>
  <si>
    <t>EVENTOS METEOROLÓGICOS SEVEROS OCURRIDOS EN CHILE CONTINENTAL: DESCRIPCIÓN Y PATRONES SINÓPTICOS TIPOS ASOCIADOS, DIRECCIÓN METEOROLÓGICA DE CHILE</t>
  </si>
  <si>
    <t>Dirección Meteorológica de Chile</t>
  </si>
  <si>
    <t>DETERMINACIÓN DE LOS UMBRALES DE ALERTA DE CAUDALES, LLUVIAS Y TEMPERATURAS DEL SISTEMA DE TRANSMISIÓN DE DATOS DE LA DGA</t>
  </si>
  <si>
    <t>RODHOS ASESORÍAS Y PROYECTOS LTDA</t>
  </si>
  <si>
    <t>En este documento se realiza un analis de la situacion atual de los umbrales de alerta de monitorieo de las estaciones fluviometricas y pluviometricas; y consecutivamente una propuesta de nuevo listado de umbrales de alertas.</t>
  </si>
  <si>
    <t>ASESORÍA DE INSPECCIÓN OBRA REPARACIÓN DE EMERGENCIA DEL CANAL CUMPEO, REGIÓN DEL MAULE. INFORME FINAL</t>
  </si>
  <si>
    <t>Informe final de la Asesoría de Inspección de Obra de la reparación del Canal de Cumpeo, dañado por el terremoto de 27 de febrero de 2010.  Incluye la reparación de los túneles Lo Gálvez y Remolino, y  el tramo de canal abierto entre ambos. El Canal Cumpeo (5 m³/s) data del año 1870, fue construido a mano sin ningún tipo de refuerzo y actualmente es administrado por la Asociación de Canalistas, cuenta con capacidad para regar 4.000 hectáreas en la comuna de Río Claro, por lo que su reparación es de vital importancia para asegurar la temporada agrícola y frutal de la zona.</t>
  </si>
  <si>
    <t xml:space="preserve">INFORME DE REPARACIÓN SIFÓN METALICO, CANAL CUMPEO, REGIÓN DEL MAULE </t>
  </si>
  <si>
    <t>EPS Ingeniería y Consultoría</t>
  </si>
  <si>
    <t>-</t>
  </si>
  <si>
    <t>Dirección de Obras Hidráulicas</t>
  </si>
  <si>
    <t>INFORME DEL ESTADO DEL MEDIO AMBIENTE RESUMEN EJECUTIVO</t>
  </si>
  <si>
    <t>BALANCE AMBIENTAL 2014. SACRIFICANDO CHILE POR LA INVERSIÓN</t>
  </si>
  <si>
    <t>ESPECIES EN ESTADO DE CONSERVACION</t>
  </si>
  <si>
    <t>DGA. REGIÓN DEL MAULE Y SUS DESAFÍOS EN LA GESTIÓN DEL RECURSO HÍDRICO</t>
  </si>
  <si>
    <t>Francisco José Canessa Díaz</t>
  </si>
  <si>
    <t>Dirección General de Aguas. Región del Maule</t>
  </si>
  <si>
    <t>Corresponde a la revisión del SEIA y contiene todos los EIA que se hayan aprobado en la región del Maule,  y revisar, analizar y concluir sobre las medidas de mitigación y compensación propuestas relacionadas con los recursos hídricos.</t>
  </si>
  <si>
    <t>INFORMACIÓN HÍDRICA DE LAS CUENCAS PRIORIZADAS. FICHAS TEMÁTICAS. CUENCA DEL MAULE</t>
  </si>
  <si>
    <t>Dirección General de Aguas</t>
  </si>
  <si>
    <t>Ficha resumen de la cuenca, con información general hidrológica, hidrogeológica, hidrométrica, sanitaria, ambiental, administratica y de organizaciones de usuarios</t>
  </si>
  <si>
    <t>Universidad Austral de Chile</t>
  </si>
  <si>
    <t>PROPUESTA DE POLÍTICA REGIONAL DE DESARROLLO RURAL REGIÓN DEL MAULE</t>
  </si>
  <si>
    <t>CONSTRUCCIÓN DE HERRAMIENTAS MATEMÁTIAS PARA LA PREDICCIÓN DEL COMPORTAMIENTO DE LOS CAUDALES PUNTA EN LA REGIÓN DEL MAULE</t>
  </si>
  <si>
    <t>Patricio Alejandro González Loyola</t>
  </si>
  <si>
    <t>Escuela de Ingeniería Forestal</t>
  </si>
  <si>
    <t>TIPSA Chile</t>
  </si>
  <si>
    <t>Municipal</t>
  </si>
  <si>
    <t>PLAN MAESTRO DE MANEJO DE CAUCES CUENCA RIO MATAQUITO. VII REGION. ETAPA 5. INFORME FINAL</t>
  </si>
  <si>
    <t>PLAN MAESTRO DE MANEJO DE CAUCES CUENCA RIO MAULE VII REGION.</t>
  </si>
  <si>
    <t>GESTIÓN DEL RIESGO DE SEQUÍA Y OTROS EVENTOS CLIMÁTICOS EXTREMOS EN CHILE</t>
  </si>
  <si>
    <t>Se resumen las propuestas realizadas en relación al mejoramiento de calidad de aguas de riego. En cuanto al contenido, puede consideras básico para expertos en el sector pero está destinado a personal de rubro agrícola. Contempla nociones generales sobre la calidad de aguas de Riego, instrucciones de la metodología para la determinación de calidad hídrica mediante comunidades Biológicas en Chile, estrategias de control de eutrofización de aguas de riego, consideración sobre la Metodología para la determinación  de la calidad de agua mediante comunidades Biológicas en la Cuenca de Rio Maipo</t>
  </si>
  <si>
    <t>El estudio se centra en 7 cauces: río Mataquito,  río Teno, río Lontué, río Colorado, río Claro, río Patos de San Pedro y estero Upeo.
Incluye una descripción general de la cuenca (sistema físico natural, flora y fauna, sistemas humanos, y usos del suelo), caracteriza el régimen hidrológico de cada uno de ellos en base a los caudales mensuales y la calidad del agua según diferentes parámetros (conductividad eléctrica, DBO5, oxígeno disuelto, pH, sólidos en suspensión y coliformes fecales) y el contenido de diferentes elementos (sulfatos, cobre, cromo, hierro, manganeso, molibdeno, aluminio)</t>
  </si>
  <si>
    <t>El estudio se centra en varios cauces de la cuenca del Maule: río Maule, río Claro-Talca, río Claro-embalse Colbún, río Lircay, río Loncomilla,  río Ancoa, río Cauquenes, río Perquilauquén, estero Curipeumo, río Purapel, río Longaví, río Achibueno, río Putagán, estero Los Puercos, río Melado.
Incluye una descripción general de la cuenca (sistema físico natural, flora y fauna, sistemas humanos, y usos del suelo), caracteriza el régimen hidrológico de cada uno de ellos en base a los caudales mensuales y la calidad del agua según diferentes parámetros (conductividad eléctrica, DBO5, oxígeno disuelto, pH, sólidos en suspensión y coliformes fecales) y el contenido de diferentes elementos (sulfatos, cobre, cromo, hierro, manganeso, molibdeno, aluminio)</t>
  </si>
  <si>
    <t>Comprende una sección (1) de Diagnóstico y Justificación, en la que se presenta una reseña de la problemática ambiental asociada al cambio climático, incluidas las posibles consecuencias para Chile así como las oportunidades que ofrece la implementación de la Convención Marco de las Naciones Unidas sobre Cambio Climático y su  Protocolo de Kyoto; una sección (2) sobre los Ejes de la Estrategia y una sección (3) que contiene los Objetivos por cada eje propuesto</t>
  </si>
  <si>
    <t>El objeto del programa es contribuir a la protección de la calidad de los recursos hídricos del país, a través de la capacitación de las organizaciones de regantes y sus usuarios, para que puedan gestionar la calidad de sus aguas de riego</t>
  </si>
  <si>
    <t>El objetivo de este trabajo es analizar la contaminación del agua en la séptima y octava región de Chile, explicando sus consecuencias, las enfermedades que se producen, los mayores contaminantes, entre otros. Además de especificar los índices de consumo de agua en Chile. El trabajo fue realizado a través de una revisión bibliográfica de fuentes secundarias que se relacionaban con el tema de la contaminación hídrica. Se concluye que la contaminación del agua provoca enfermedades y daños irreversibles para el ser humano y para el medio ambiente.</t>
  </si>
  <si>
    <t>Analiza el clima observado durante la parte final del siglo XX y su proyección hacia fines del presente siglo, estimando escenarios climáticos para diferentes regiones de Chile en el periodo 2071-2100, asociados a un cambio climático global resultante de un incremento sostenido de los gases de efecto invernadero.</t>
  </si>
  <si>
    <t>Se presenta un análisis de la vulnerabilidad del sector agrícola frente al escenario de Cambio Climático A2 al año 2040. Los impactos de los cambios climáticos sobre la productividad de estos recursos, fueron determinados a través del modelo SIMPROC (Simulador de la Productividad de Cultivos). Para el sector agrícola se modeló el rendimiento de cultivos tanto en riego como secano, de maíz, trigo, papa, frejol y remolacha; y de frutales (vides, manzano, duraznos y naranjos). En el sector forestal se modeló la productividad de pino y eucalipto, y para determinar los impactos en el sector ganadero, se modeló la productividad de praderas. En una segunda parte, se resumen los resultados de los informes de los sectores recursos hídricos y edáficos para implementar los impactos globales de estos tres sectores sobre el ambiente físico.</t>
  </si>
  <si>
    <t>En este informe se aborda el impacto sobre los recursos hídricos futuros de una poblaación mundial en continuo crecimiento (escenario A2 definido por el Grupo Intesgubernamenal de Expertos sobre Cambi Climático). El impacto que tendrá en la escorrentía y disponibilidad del recurso frente a los posibles cambios de temperatura, evaporación y precipitación, correspondientes a este escenario A2, se cuantifica mediante la calibración de modelos de simulación hidrológica en nueve cuencas chilenas situadas entre la IV y la IX Región . Este análisis se enfoca por cuencas (nueve cuencas, nueve modelos de simulación).</t>
  </si>
  <si>
    <t>LEVANTAMIENTO DE INFORMACION HIDROGEOLOGICA PARA MODELAR CUENCA DEL RIO MAULE. ETAPA II</t>
  </si>
  <si>
    <t>PLAN DIRECTOR PARA LA GESTIÓN DE LOS RECURSOS HÍDRICOS CUENCA DEL RÍO MAULE FASE II ACTUALIZACIÓN DEL MODELO DE OPERACIÓN DEL SISTEMA Y FORMULACIÓN DEL PLAN</t>
  </si>
  <si>
    <t xml:space="preserve">Estudio que tiene como objetivo general determinar el estado actual de contaminación de los acuíferos de las Cuencas de Huasco y Mataquito, producto de la actividad agrícola y otras fuentes, y analizar ante diversos escenarios de desarrollo y explotación, el comportamiento del sistema subterráneo y los efectos generados sobre los pozos existentes, ya sea de riego como de agua potable.
Incluye colección de diferentes planos temáticos de las cuencas del río Huasco (12 planos)  y del río Mataquito (16 planos), a escalas varias (1:100.000; 1:150.000 y 1:250.000) </t>
  </si>
  <si>
    <t>Estudio de alternativas de sitios para la construcción de un embalse estacional en la zona de Tabunco, analizando ventajas e inconvenientes, y desarrolando la más rentable desde el punto de visto social</t>
  </si>
  <si>
    <t>ESTUDIO DE PREFACTIBILIDAD "MEJORAMIENTO DEL SISTAMA DE RIEGO EN RÍO ACHIBUENO, REGIÓN DEL MAULE". TOMO III. "ESTUDIOS HIDROLÓGICOS"</t>
  </si>
  <si>
    <t>ESTUDIO BÁSICO DE ANÁLISIS DE ALTERNATIVAS PILOTO DE RECARGA ARTIFICIAL LONTUÉ, VII REGIÓN</t>
  </si>
  <si>
    <r>
      <t xml:space="preserve">ESTUDIO DE CALIDAD DE AGUAS SUBTERRÁNEAS EN LAS CUENCAS DE HUASCO Y MATAQUITO. </t>
    </r>
    <r>
      <rPr>
        <i/>
        <sz val="10"/>
        <color rgb="FF000000"/>
        <rFont val="Calibri"/>
        <family val="2"/>
      </rPr>
      <t>RESUMEN EJECUTIVO</t>
    </r>
  </si>
  <si>
    <t>ESTUDIO DE FACTIBILIDAD Y DISEÑO DEFINITIVO SISTEMA CUELLAR URBANIZADO, LINARES, VII REGIÓN</t>
  </si>
  <si>
    <t>ESTUDIO DE FACTIBILIDAD MEJORAMIENTO DEL RIEGO DE LA CUENCA RÍO TENO, REGIÓN DEL MAULE</t>
  </si>
  <si>
    <t>Corresponde a un documento orientador, tanto de las acciones estructurales (obras); como de las no-estructurales (acuerdos, regulaciones y procedimientos); las que en conjunto deben aplicarse a los cauces de manera de lograr los objetivos propuestos por el Plan. En su formulación se abordan los aspectos relacionados con las características asociadas al medio físico o sistema natural; las asociadas a las actividades humanas, o sistema social, que se relacionan con el cauce; y el sistema institucional asociado al cauce (organizaciones y leyes).</t>
  </si>
  <si>
    <t>SIT 296</t>
  </si>
  <si>
    <t>ANÁLISIS REDES VIGILANCIA CALIDAD AGUAS TERRESTRES. ESTADISTICA HIDROQUIMICA NACIONAl. ETAPA l. SEPTlMA REGION</t>
  </si>
  <si>
    <t>ANALISIS CRÍTICO DE LA RED DE CALIDAD DE AGUAS SUPERFICIALES Y SUBTERRANEAS DE LA DGA</t>
  </si>
  <si>
    <t>Infraestructura y Ecología S.A.</t>
  </si>
  <si>
    <t>SIT 337</t>
  </si>
  <si>
    <t>EVALUACIÓN AMBIENTAL ESTRATÉGICA. PLAN REGIONAL DE ORDENAMIENTO TERRITORIAL DEL MAULE</t>
  </si>
  <si>
    <t>CUENTA PÚBLICA 2015. GESTIÓN MEDIO AMBIENTE REGIÓN DEL MAULE</t>
  </si>
  <si>
    <t>SISTEMA DE EVALUACIÓN DE IMPACTO AMBIENTAL</t>
  </si>
  <si>
    <t>MEJORAMIENTO Y AMPLIACIÓN DE RED DE AGUAS SUBTERRÁNEAS, REGIONES VII A XI. INFORME FINAL</t>
  </si>
  <si>
    <t>Archivo</t>
  </si>
  <si>
    <t>CA010_AnalisisRedCalidadAguasTerrestres_1994.pdf</t>
  </si>
  <si>
    <t>CA030_mejoramiento calidad de aguas_2003.pdf</t>
  </si>
  <si>
    <t>CA040_DiagnClasifCursosAguaCalidadMataquito_2004.pdf</t>
  </si>
  <si>
    <t>CA045_DiagnClasifCursosAguaCalidadInformeFinal.pdf</t>
  </si>
  <si>
    <t>CA050_DiagnClasifCursosAguaCalidadMaule_2004.pdf</t>
  </si>
  <si>
    <t>CA055_CalidadAguaSubtHuascoMataquito_2006.zip</t>
  </si>
  <si>
    <t>CA060_ProgramaGestiondelaCalidaddelAgua_2009.pdf</t>
  </si>
  <si>
    <t>CA070_ContamAguaMaule_2010.pdf</t>
  </si>
  <si>
    <t>CA080_AnalisisRedCalidadSupSubtDGA_2014.zip</t>
  </si>
  <si>
    <t>CC005_EstrNAcionCC_2006.pdf</t>
  </si>
  <si>
    <t>CC006_VariabilidadClimaChile_2007.pdf</t>
  </si>
  <si>
    <t>CC010_VulneraSilvoAgroPecCambioClim_2008.pdf</t>
  </si>
  <si>
    <t>CC020_VulneraRHCambClimPerquilaquen_2008.pdf</t>
  </si>
  <si>
    <t>CC030_DiagnósticoCambioCli_2010.pdf</t>
  </si>
  <si>
    <t>CC040_ErosionSuelosChile_2010.pdf</t>
  </si>
  <si>
    <t>CC060_ EvaluacImpactoSocialCambClim_2011.pdf</t>
  </si>
  <si>
    <t>DT010_Informe de Diagnóstico y ProspectivaDT.pdf</t>
  </si>
  <si>
    <t>DT020_PRDU_Maule_2007.pdf</t>
  </si>
  <si>
    <t>DT080_Agen_Innov_Agraria_2016.pdf</t>
  </si>
  <si>
    <t>EH010_EvaluaciRedHidro_2006.pdf</t>
  </si>
  <si>
    <t>EH020 Anal Fluviometrica_2006.pdf</t>
  </si>
  <si>
    <t>EH030_Mejora_ampliacion_red_Subt_2010.pdf</t>
  </si>
  <si>
    <t>EH040_ANALISIS CRITICO_RedesHidrom_DGA_2013.pdf</t>
  </si>
  <si>
    <t>EX005_Eventos hidrometeorolExtremos_1995.pdf</t>
  </si>
  <si>
    <t>EX020_PlanNacioProteCivil_2002.pdf</t>
  </si>
  <si>
    <t>EX025_EventosSinopticos_2006.pdf</t>
  </si>
  <si>
    <t>EX026_PrediciCaudalPunta_Tesis_06.pdf</t>
  </si>
  <si>
    <t>EX028_NivelesDeAlertaDGA_2010.pdf</t>
  </si>
  <si>
    <t>EX030Protocolo ONEMI-DGAcrecidas_2012.pdf</t>
  </si>
  <si>
    <t>EX035_Eventos_Extremos_cf-villarroel_cj_2013.pdf</t>
  </si>
  <si>
    <t>EX040_PL_DE EMERG_PROVI_CURICÓ2014.doc</t>
  </si>
  <si>
    <t>EX050_PoliticaNacGestionRiesgoDesastres_2014.pdf</t>
  </si>
  <si>
    <t>EX060_Protocolo ONEMI-SHOAtsunami_2014.pdf</t>
  </si>
  <si>
    <t>EX070_PLAN REGIONAL DE EMERGENCIA_2015.pdf</t>
  </si>
  <si>
    <t>EX080_PLAN DE EMER  PROV DE CAUQUENES.pdf</t>
  </si>
  <si>
    <t>EX090_PLAN DE EMERG PROVI LINARES.pdf</t>
  </si>
  <si>
    <t>EX113_PLAN DE EMERGENCIA COMUNAL CAUQUENES.pdf</t>
  </si>
  <si>
    <t>EX114_PLAN DE EMERGENCIA COMUNAL PARRAL.pdf</t>
  </si>
  <si>
    <t>EX115_PLAN DE EMERGENCIA COMUNAL LINARES_2015.pdf</t>
  </si>
  <si>
    <t>EX116_PLAN DE EMERGENCIA COMUNAL PELLUHUE.pdf</t>
  </si>
  <si>
    <t>EX117_PLAN DE EMERGENCIA COMUNAL TALCA_2015.pdf</t>
  </si>
  <si>
    <t>EX120_PlanInviernoGestiónRegional_2015.pdf</t>
  </si>
  <si>
    <t>IH020_Usuarios y infraestrucutra_1991.pdf</t>
  </si>
  <si>
    <t>IH030_CatastroEmbalsesVIIRegion_1996.pdf</t>
  </si>
  <si>
    <t>IH035_PrefactEmbTabunco_1999.pdf</t>
  </si>
  <si>
    <t>IH065PrefecConstrEmbalseCipres_2001.zip</t>
  </si>
  <si>
    <t>IH070_PlanMaestroAguasLluviaLinares_2002.zip</t>
  </si>
  <si>
    <t>IH075 PMAguasLluviasCurico_2002.zip</t>
  </si>
  <si>
    <t>IH090_PMManejoCaucesMataquito_2003.zip</t>
  </si>
  <si>
    <t>IH092_PMManejoCaucesCuencaMaule_2004.zip</t>
  </si>
  <si>
    <t>IH095_PrefactSistemaCuellarUrbanizado_2006.zip</t>
  </si>
  <si>
    <t>IH100_ImplemSIGaguasLluviaTalca_2008.zip</t>
  </si>
  <si>
    <t>IH130_CatastroEmbalsesInfFinal_2010.pdf</t>
  </si>
  <si>
    <t>IH131_CatastroEmbalsesCarta_2010.pdf</t>
  </si>
  <si>
    <t>IH140_PlanMaestroAguasLluviaConstitucion_2010.zip</t>
  </si>
  <si>
    <t>IH145_SifónCanalCumpeoInfRepara_2010.doc</t>
  </si>
  <si>
    <t>IH146_AIF_ReparaCanalCumpeoInformeFinal_2010.doc</t>
  </si>
  <si>
    <t>IH150_MejoraRiegoRioTeno_2011.pdf</t>
  </si>
  <si>
    <t>IH180_EstimacionMicrogeneracion_2011.pdf</t>
  </si>
  <si>
    <t>IH190_Embales v2T1_2011_11.zip</t>
  </si>
  <si>
    <t>IH200_Embalses-Riego_Construidos_2011.pptx</t>
  </si>
  <si>
    <t>IH210_RegadioEmbLongavi-Cedec_2012.pdf</t>
  </si>
  <si>
    <t>IH230_ ConstrEvacAguasLluviaEstero_2013.zip</t>
  </si>
  <si>
    <t>IH240_MejoraRiegoArchibuenoEstudioHidrol_2014.pdf</t>
  </si>
  <si>
    <t>IH245_FactibilidadMejoraTeno_2014.zip</t>
  </si>
  <si>
    <t>IH250_AnalisisAlternRecargaArtifLontue_2015.zip</t>
  </si>
  <si>
    <t>IH280_ComunidadAguaCanalistas.zip</t>
  </si>
  <si>
    <t>MA010_ProblemasAmbChile_1990.pdf</t>
  </si>
  <si>
    <t>MA020_PlanManejoRNBellotosMelado_1999.pdf</t>
  </si>
  <si>
    <t>MA030_AreasSilvProtegPrivadas_1999.pdf</t>
  </si>
  <si>
    <t>MA040_PoliticaAmbMaule_.pdf</t>
  </si>
  <si>
    <t>MA045_EstrategiaBiodiversMaule_2002.pdf</t>
  </si>
  <si>
    <t>MA050_FragmentDinamRegenBosqueMaulino_2004.pdf</t>
  </si>
  <si>
    <t>MA060_AnalisisRepresEcoAreasProtPublPriv_2008.pdf</t>
  </si>
  <si>
    <t>MA065_InfAnualMedioAmENDESA_2008.pdf</t>
  </si>
  <si>
    <t>MA070_ControlSeguimResolCalifAmb_2009.pdf</t>
  </si>
  <si>
    <t>MA080_OCDEyMedioAmbChile_2010.pdf</t>
  </si>
  <si>
    <t>MA085_ContaminacionAire_2010.pdf</t>
  </si>
  <si>
    <t>MA090_DeforestEcosTemplPrecor_2010.pdf</t>
  </si>
  <si>
    <t>MA095_ContaminacionSuelo_2010.pdf</t>
  </si>
  <si>
    <t>MA100_InformeEstadoMedioAmb_2011.pdf</t>
  </si>
  <si>
    <t>MA110_AreasProtegChile_2011.pdf</t>
  </si>
  <si>
    <t>MA125_InfAnualMedioAmENDESA_2012.pdf</t>
  </si>
  <si>
    <t>MA130_SustAmbintalDesarrollo_2013.pdf</t>
  </si>
  <si>
    <t>MA140_EspecieEstadoConservacion_2013.xls</t>
  </si>
  <si>
    <t>MA150_BalAmb2014SacrifChile_2014.pdf</t>
  </si>
  <si>
    <t>MA160_EvalAmbEstratPROTMaule_2014.pdf</t>
  </si>
  <si>
    <t>MA170_AplicaCriteriosIUCNEvalRiesgosEcosTerrestres_2015.pdf</t>
  </si>
  <si>
    <t>MA180_SegundoReporteEstadoMedioAmb_2015.pdf</t>
  </si>
  <si>
    <t>MA190_CuentaPública2015GestMedAmbRegionMaule_2015.pdf</t>
  </si>
  <si>
    <t>MA200_ProyectosSEA_2016.xls</t>
  </si>
  <si>
    <t>MA230_MedioAmbInformaAnual2015_2016.pdf</t>
  </si>
  <si>
    <t>MA240_AreasRestringidasMaule.zip</t>
  </si>
  <si>
    <t>RH005_CaptacionSecanoCauquenes_1996.pdf</t>
  </si>
  <si>
    <t>RH010_Oferta y demandaMata_96.pdf</t>
  </si>
  <si>
    <t>RH020_Diag Rec Hidr Secano_2003.pdf</t>
  </si>
  <si>
    <t>RH030 BasesPlanDirectorv3_2003.pdf</t>
  </si>
  <si>
    <t>RH040_ModHidrolMaule_2004_dic.djvu</t>
  </si>
  <si>
    <t>RH050_EvalaReHiMauleSuper_2005.pdf</t>
  </si>
  <si>
    <t>RH060_ModeloHidroloMauleMataqu_2006.pdf</t>
  </si>
  <si>
    <t>RH070_EstimaDemProyecFutura_2007.pdf</t>
  </si>
  <si>
    <t>RH080_PDGRH Maule Arrau_MAGIC_2008.zip</t>
  </si>
  <si>
    <t>RH090_Caudales no controlados Maule_2008.pdf</t>
  </si>
  <si>
    <t>RH100_Levan InformHidrol_2010_12.pdf</t>
  </si>
  <si>
    <t>RH110_PRIGRH_RegionMaule2021_2012.zip</t>
  </si>
  <si>
    <t>RH130_EstudioHidrogeolCuenMataq_2012.pdf</t>
  </si>
  <si>
    <t>RH135_RegionMauleDesafiosGestionRH_2013.pdf</t>
  </si>
  <si>
    <t>RH140_OfertaYdemadaPurapel_2014.pdf</t>
  </si>
  <si>
    <t>RH150_EvaRecuHidrSubterrMaule_2014.pdf</t>
  </si>
  <si>
    <t>SAP010_DiagnoRiegoDrenaje_2003.pdf</t>
  </si>
  <si>
    <t>SAP020_CensoAgropecuario_2007.zip</t>
  </si>
  <si>
    <t>SAP030_AnalisisDeficitHidricoAgricultura_2011.pdf</t>
  </si>
  <si>
    <t>SAP050_Catastro_Agroindustrial_2012.pdf</t>
  </si>
  <si>
    <t>SAP070_ProgrTransfDesarrolloRiegoAncoa_2013.pdf</t>
  </si>
  <si>
    <t>SAP080_Catastro ODEPA_2016.pdf</t>
  </si>
  <si>
    <t>Universidad de Concepción</t>
  </si>
  <si>
    <t>Su objetivo general fué organizar y capacitar comunidades de aguas, con el propósito de generar organizaciones modernas y participativas, capaces de mejorar la eficiencia en la distribución y utilización de sus recursos hídricos, y de los instrumentos de fomento al riego, como así también organizar y capacitar organizaciones territoriales que planifiquen el desarrollo productivo local en tres territorios del país. Objetivos específicos del Programa: Organizar y capacitar comunidades de aguas, con una metodología validada. Capacitar a monitores (profesionales y/o dirigentes) para desarrollar capacidades locales en cuanto a la transferencia de conocimientos sobre organizaciones de regantes. Contribuir a la formación y fortalecimiento de organizaciones territoriales de desarrollo productivo, a través de la transferencia de capacidades de gestión a dirigentes agrícolas locales. Sensibilizar sobre la problemática existente y las herramientas de solución en el marco del desarrollo de las comunidades de aguas y organizaciones territoriales; y establecer un sistema de coordinación, operación y gestión de las diferentes instituciones e instrumentos de apoyo a la capacitación y desarrollo de las comunidades de aguas y organizaciones de Desarrollo Territorial. Establecer un Programa de seguimiento y evaluar el cambio producido en la organización luego de recibir la capacitación a través de la metodología utilizada.</t>
  </si>
  <si>
    <t>ESTUDIO DE PERFIL. MEJORAMIENTO DEL RIEGO EN RÍO ARCHIBUENO, REGIÓN DEL MAULE</t>
  </si>
  <si>
    <t>Municipalidad Longaví</t>
  </si>
  <si>
    <t>Municipalidad Chanco</t>
  </si>
  <si>
    <t>Municipalidad Cauquenes</t>
  </si>
  <si>
    <t>Municipalidad Parral</t>
  </si>
  <si>
    <t>Municipalidad Linares</t>
  </si>
  <si>
    <t>Municipalidad Pellhué</t>
  </si>
  <si>
    <t>Municipalidad Talca</t>
  </si>
  <si>
    <r>
      <t>PROGRAMA DE CONSTRUCCIÓN Y REHABILITACIÓN DE OBRAS MEDIANAS DE RIEGO -PROM. CATASTRO DE OBRAS DE RIEGO Y ELABORACIÓN DEL PLAN DE INVERSIONES AL AÑO 2018 ZONA SUR REGIONES DE O'HIGGINS A MAGALLANES. INFORME FINAL</t>
    </r>
    <r>
      <rPr>
        <sz val="10"/>
        <color rgb="FF000000"/>
        <rFont val="Calibri"/>
        <family val="2"/>
      </rPr>
      <t xml:space="preserve"> (RESUMEN EJECUTIVO Y TOMO IV: ANEXOS B y C)</t>
    </r>
  </si>
  <si>
    <t>CC080_PoliticaAdapCambClimAgricRiego_2012.pdf</t>
  </si>
  <si>
    <t>CC090_PlanNacAdapCambClim_2013.pdf</t>
  </si>
  <si>
    <t>DT015_ProgrOrganCapacComAgua_2006.pdf</t>
  </si>
  <si>
    <t>DT030_PropuPolitDesarRuralRegMau_2009.zip</t>
  </si>
  <si>
    <t>EX033_PLAN DE EMERGENCIA COMUNAL LONGAVI_2012.pdf</t>
  </si>
  <si>
    <t>IH010_Canal linares_1991.pdf</t>
  </si>
  <si>
    <t>IH060_PlanMastroAguasLluviaTalca_2000.zip</t>
  </si>
  <si>
    <t>IH110_ProgdeConstyRehabilitObrasRiego_2009.zip</t>
  </si>
  <si>
    <t>IH160_EstPerfilMejoraRiegoRio Achibueno_2011.pdf</t>
  </si>
  <si>
    <t>RH120_PolitNacRH2015_2012.pdf</t>
  </si>
  <si>
    <t>RH160_BasesPlanifTerrDesarHidroElecFut_2015.pdf</t>
  </si>
  <si>
    <t>RH170_InfoHidrCuencasPrioriFichaRioMaule_2015.pdf</t>
  </si>
  <si>
    <t>SAP040_ProgDesarrRiegoTutuven_2011.pdf</t>
  </si>
  <si>
    <t>SAP060_CambiosTerritorialesTecnRiegoChile_2012.pdf</t>
  </si>
  <si>
    <t>DT050_GuiaZonifCuencasHidrog_2013.pdf</t>
  </si>
  <si>
    <t>DT055_PlanRegGobierno2014-18_2014.pdf</t>
  </si>
  <si>
    <t>DT060_ProgrGestionTerrritZonasRezag_2014.pdf</t>
  </si>
  <si>
    <t>DT070_PlanSecanoMauleSur_2015.pdf</t>
  </si>
  <si>
    <t>EX029_GestiónRiesgoSequíaFAO_2010.pdf</t>
  </si>
  <si>
    <t>EX065_PLAN DE EMERGENCIA COMUNAL CHANCO_2014.pdf</t>
  </si>
  <si>
    <t>IH040_LevantamBocatomas_2000.zip</t>
  </si>
  <si>
    <t>IH050_LevantamyCatastroBocatomas_2000.pdf</t>
  </si>
  <si>
    <t>IH080_RiegoEnChile_2003.pdf</t>
  </si>
  <si>
    <t>IH170_CatastroInicitivasEmbal_2011.pdf</t>
  </si>
  <si>
    <t>IH220_ProyPrefacEmbHuedque_2012.pdf</t>
  </si>
  <si>
    <t>CONTAMINACIÓN DEL AIRE</t>
  </si>
  <si>
    <t>CONTAMINACIÓN DE SUELOS</t>
  </si>
  <si>
    <t>EX100_PlanEmerProvTalca_2015.pdf</t>
  </si>
  <si>
    <t>Información relevante para el Plan</t>
  </si>
  <si>
    <t>DT070</t>
  </si>
  <si>
    <t>PLAN MAESTRO DE RECURSOS HÍDRICOS REGIÓN DEL MAULE</t>
  </si>
  <si>
    <t>ESTRATEGIA REGIONAL DE DESARROLLO</t>
  </si>
  <si>
    <t>Establece un procedimiento para clasificar los cursos de agua superficiales de acuerdo a las Instrucciones para la dictación de Normas Secundarias de Calidad Ambiental para Aguas Continentales Superficiales, contenidas en el Instructivo
Presidencial,  como también su aplicación en las cuencas prioritarias del país.  
Los objetivos específicos del estudio, en el marco de las cuencas seleccionadas, son:
• Identificar los factores que inciden o puedan incidir en el futuro en la calidad del agua;
• Establecer la calidad natural de cursos de agua; 
• Caracterizar la calidad actual y su variabilida espacial y temporal
• Caracterizar usos actuales y futuros in situ y extractivos
• Establecer un índice de cumplimiento de calidad objetivo I-2
• Definir procedimientos para el establecimiento de la zona de dilución (zonas de mezcla o de exclusión), y aplicar a la situación actual de los cursos en estudio.
• Identificar los cursos de agua que estarán bajo incumplimiento de norma
• Diseñar un Plan de Monitoreo Estándar
• Elaborar un Informe Público sobre la calidad de los cursos de agua.</t>
  </si>
  <si>
    <t>CA010</t>
  </si>
  <si>
    <t>CA030</t>
  </si>
  <si>
    <t>CA040</t>
  </si>
  <si>
    <t>CA045</t>
  </si>
  <si>
    <t>CA050</t>
  </si>
  <si>
    <t>CA055</t>
  </si>
  <si>
    <t>CA060</t>
  </si>
  <si>
    <t>CA070</t>
  </si>
  <si>
    <t>CA080</t>
  </si>
  <si>
    <t>CC005</t>
  </si>
  <si>
    <t>CC006</t>
  </si>
  <si>
    <t>CC010</t>
  </si>
  <si>
    <t>CC020</t>
  </si>
  <si>
    <t>CC030</t>
  </si>
  <si>
    <t>CC040</t>
  </si>
  <si>
    <t>CC060</t>
  </si>
  <si>
    <t>CC080</t>
  </si>
  <si>
    <t>CC090</t>
  </si>
  <si>
    <t>DT010</t>
  </si>
  <si>
    <t>DT015</t>
  </si>
  <si>
    <t>DT020</t>
  </si>
  <si>
    <t>DT025</t>
  </si>
  <si>
    <t>DT030</t>
  </si>
  <si>
    <t>DT050</t>
  </si>
  <si>
    <t>DT055</t>
  </si>
  <si>
    <t>DT060</t>
  </si>
  <si>
    <t>DT080</t>
  </si>
  <si>
    <t>EH010</t>
  </si>
  <si>
    <t>EH020</t>
  </si>
  <si>
    <t>EH030</t>
  </si>
  <si>
    <t>EH040</t>
  </si>
  <si>
    <t>EX005</t>
  </si>
  <si>
    <t>EX020</t>
  </si>
  <si>
    <t>EX025</t>
  </si>
  <si>
    <t>EX026</t>
  </si>
  <si>
    <t>EX028</t>
  </si>
  <si>
    <t>EX029</t>
  </si>
  <si>
    <t>EX030</t>
  </si>
  <si>
    <t>EX033</t>
  </si>
  <si>
    <t>EX035</t>
  </si>
  <si>
    <t>EX040</t>
  </si>
  <si>
    <t>EX050</t>
  </si>
  <si>
    <t>EX060</t>
  </si>
  <si>
    <t>EX065</t>
  </si>
  <si>
    <t>EX070</t>
  </si>
  <si>
    <t>EX080</t>
  </si>
  <si>
    <t>EX090</t>
  </si>
  <si>
    <t>EX100</t>
  </si>
  <si>
    <t>EX113</t>
  </si>
  <si>
    <t>EX114</t>
  </si>
  <si>
    <t>EX115</t>
  </si>
  <si>
    <t>EX116</t>
  </si>
  <si>
    <t>EX117</t>
  </si>
  <si>
    <t>EX120</t>
  </si>
  <si>
    <t>IH010</t>
  </si>
  <si>
    <t>IH020</t>
  </si>
  <si>
    <t>IH030</t>
  </si>
  <si>
    <t>IH035</t>
  </si>
  <si>
    <t>IH040</t>
  </si>
  <si>
    <t>IH050</t>
  </si>
  <si>
    <t>IH060</t>
  </si>
  <si>
    <t>IH065</t>
  </si>
  <si>
    <t>IH070</t>
  </si>
  <si>
    <t>IH075</t>
  </si>
  <si>
    <t>IH080</t>
  </si>
  <si>
    <t>IH090</t>
  </si>
  <si>
    <t>IH092</t>
  </si>
  <si>
    <t>IH095</t>
  </si>
  <si>
    <t>IH100</t>
  </si>
  <si>
    <t>IH110</t>
  </si>
  <si>
    <t>IH130</t>
  </si>
  <si>
    <t>IH131</t>
  </si>
  <si>
    <t>IH140</t>
  </si>
  <si>
    <t>IH145</t>
  </si>
  <si>
    <t>IH146</t>
  </si>
  <si>
    <t>IH150</t>
  </si>
  <si>
    <t>IH160</t>
  </si>
  <si>
    <t>IH170</t>
  </si>
  <si>
    <t>IH180</t>
  </si>
  <si>
    <t>IH190</t>
  </si>
  <si>
    <t>IH200</t>
  </si>
  <si>
    <t>IH210</t>
  </si>
  <si>
    <t>IH220</t>
  </si>
  <si>
    <t>IH230</t>
  </si>
  <si>
    <t>IH240</t>
  </si>
  <si>
    <t>IH245</t>
  </si>
  <si>
    <t>IH250</t>
  </si>
  <si>
    <t>IH280</t>
  </si>
  <si>
    <t>MA010</t>
  </si>
  <si>
    <t>MA020</t>
  </si>
  <si>
    <t>MA030</t>
  </si>
  <si>
    <t>MA040</t>
  </si>
  <si>
    <t>MA045</t>
  </si>
  <si>
    <t>MA050</t>
  </si>
  <si>
    <t>MA060</t>
  </si>
  <si>
    <t>MA065</t>
  </si>
  <si>
    <t>MA070</t>
  </si>
  <si>
    <t>MA080</t>
  </si>
  <si>
    <t>MA085</t>
  </si>
  <si>
    <t>MA090</t>
  </si>
  <si>
    <t>MA095</t>
  </si>
  <si>
    <t>MA100</t>
  </si>
  <si>
    <t>MA110</t>
  </si>
  <si>
    <t>MA125</t>
  </si>
  <si>
    <t>MA130</t>
  </si>
  <si>
    <t>MA140</t>
  </si>
  <si>
    <t>MA150</t>
  </si>
  <si>
    <t>MA160</t>
  </si>
  <si>
    <t>MA170</t>
  </si>
  <si>
    <t>MA180</t>
  </si>
  <si>
    <t>MA190</t>
  </si>
  <si>
    <t>MA200</t>
  </si>
  <si>
    <t>MA230</t>
  </si>
  <si>
    <t>MA240</t>
  </si>
  <si>
    <t>RH005</t>
  </si>
  <si>
    <t>RH010</t>
  </si>
  <si>
    <t>RH020</t>
  </si>
  <si>
    <t>RH030</t>
  </si>
  <si>
    <t>RH040</t>
  </si>
  <si>
    <t>RH050</t>
  </si>
  <si>
    <t>RH060</t>
  </si>
  <si>
    <t>RH070</t>
  </si>
  <si>
    <t>RH080</t>
  </si>
  <si>
    <t>RH090</t>
  </si>
  <si>
    <t>RH100</t>
  </si>
  <si>
    <t>RH110</t>
  </si>
  <si>
    <t>RH120</t>
  </si>
  <si>
    <t>RH130</t>
  </si>
  <si>
    <t>RH135</t>
  </si>
  <si>
    <t>RH140</t>
  </si>
  <si>
    <t>RH150</t>
  </si>
  <si>
    <t>RH160</t>
  </si>
  <si>
    <t>RH170</t>
  </si>
  <si>
    <t>SAP010</t>
  </si>
  <si>
    <t>SAP020</t>
  </si>
  <si>
    <t>SAP030</t>
  </si>
  <si>
    <t>SAP040</t>
  </si>
  <si>
    <t>SAP050</t>
  </si>
  <si>
    <t>SAP060</t>
  </si>
  <si>
    <t>SAP070</t>
  </si>
  <si>
    <t>SAP080</t>
  </si>
  <si>
    <t>Etapa 1. Levantamiento, recopilación y análisis de información</t>
  </si>
  <si>
    <t>ANEXO 02</t>
  </si>
  <si>
    <t>Selección</t>
  </si>
  <si>
    <t>SELECCIONAR REFERENCIAS DE DOCUMENTOS</t>
  </si>
  <si>
    <t>(Todas)</t>
  </si>
  <si>
    <t>Y PULSAR BOTÓN</t>
  </si>
  <si>
    <t>PARA IMPRIMIR FICHAS EN FORMATO PDF</t>
  </si>
  <si>
    <t>Numero de fichas seleccionadas</t>
  </si>
  <si>
    <t>REFERENCIA</t>
  </si>
  <si>
    <t>PARA GENERAR LA FICHA DE UN DOCUMENTO INTRODUCIR LA REFERENCIAS EN LA CELDA SEÑALADA</t>
  </si>
  <si>
    <t>Carpeta</t>
  </si>
  <si>
    <r>
      <t xml:space="preserve">Para cada documento seleccionado se generará una ficha en formato PDF con nombre </t>
    </r>
    <r>
      <rPr>
        <b/>
        <i/>
        <sz val="11"/>
        <color theme="1"/>
        <rFont val="Calibri"/>
        <family val="2"/>
      </rPr>
      <t>REF_Ficha.pdf</t>
    </r>
    <r>
      <rPr>
        <sz val="11"/>
        <color theme="1"/>
        <rFont val="Calibri"/>
        <family val="2"/>
        <scheme val="minor"/>
      </rPr>
      <t xml:space="preserve"> en la carpeta indicada</t>
    </r>
  </si>
  <si>
    <t>Efectúa un ordenamiento y procesamiento de toda la información de calidad de aguas, disponible en el Banco Nacional de Aguas y en el Laboratorio Ambiental de la DGA, desde 1980 hasta la fecha, representando gráficamente la estadística hidroquímica nacional.
Presenta los resultados obtenidos correspondiente a la VII Región.</t>
  </si>
  <si>
    <t>Contempla lo siguientes objetivos: 
Elaborar un catastro de nuevas iniciativas de proyectos, a partir de informaciones recabadas en las diferentes Comisiones Regionales de Riego con sus prioridades y además en las mismas organizaciones de regantes.
Definir las temáticas de mayor interés para los estudios básicos que requiere el avance de las nuevas iniciativas.
Recomendar criterios de priorización de iniciativas.
Establecer flujos anuales de recursos financieros para obras, estudios, programas complementarios.
Implementar un sistema informático para el control de avance las iniciativas.</t>
  </si>
  <si>
    <t xml:space="preserve">Fichas regionales de embalses para riego construidos, en ejecución y en estudio </t>
  </si>
  <si>
    <t>El objetivo general del estudio es reformular la red de calidad de aguas superficiales y subterráneas de la DGA a través del análisis crítico de los datos históricos. 
El informe da cuenta del diagnóstico de la Red de Calidad de Aguas actual, a partir de un análisis estadístico de las series de datos de monitoreo y de las características actuales del territorio nacional a nivel de cuencas hidrográficas; y da una propuesta de reformulación de la Red de Calidad de Aguas, donde se establecen los criterios generales y comunes para definir las estaciones, parámetros y frecuencia de monitoreo en todo el territorio nacional continental.</t>
  </si>
  <si>
    <t>El cambio climático presenta importantes desafíos tanto en la adaptación a sus impactos, como en la mitigación de las emisiones que lo provocan. En el presente estudio se revisan los impactos que el fenómeno generaría en Chile, las opciones de mitigación de emisiones más eficientes, los desafíos que estos implican y se analiza el contexto institucional en que se desarrollan, generando además propuestas, lo que permitirá la elaboración de estrategias concretas para enfrentar el cambio climático en Chile.
Para proyectar los impactos futuros del cambio climático en Chile se utilizaron dos escenarios de emisiones mundiales de GEI. El primero representa un escenario alto en emisiones, que constituye un futuro sin modificar los comportamientos actuales y el
segundo representa un futuro donde las emisiones son más moderadas. Las proyecciones indican, para ambos escenarios, un alza en las temperaturas medias, así como una disminución de las precipitaciones en gran parte de la superficie nacional.</t>
  </si>
  <si>
    <t>Esta guía es una herramienta que permitirá que los profesionales de los Gobiernos Regionales dedicados a la planificación del territorio, cuenten con un método de análisis del sistema de cuencas hidrográficas, en el marco de una visión sustentable del desarrollo. Este método permitirá que esta unidad territorial pueda ser considerada e integrada a una planificación regional.</t>
  </si>
  <si>
    <t>PLAN MAESTRO DE MANEJO DE CAUCES RIOS LONGAVÍ Y ACHIBUENO, VII REGION.</t>
  </si>
  <si>
    <t>DT025_EstrateRegionalDesarrllo_2009.pdf</t>
  </si>
  <si>
    <t>IH093_PMCauceLongavíAchibueno_2006.rar</t>
  </si>
  <si>
    <t>El Plan tiene por objetivo  generar las condiciones que permitan gestionar de una manera más eficiente la planificación e inversión regional para avanzar hacia un desarrollo armónico y equitativo de los territorios en aspectos de desarrollo económico, social-cultural e infraestructura.</t>
  </si>
  <si>
    <t>El objetivo de este estudio es mejorar la estimación de caudales extremos en el país, en cuencas con escasa o nula información fluviométrica, mediante el empleo de fórmulas o procedimientos sencillos y confiables para el diseño de obras hidráulicas de pequeña y mediana envergadura. Es un estudio preliminar del Manual de diseño de Obras hidráulicas de drenaje.</t>
  </si>
  <si>
    <t>El Plan busca potenciar las capacidades preventivas, sin descuidar el continuo perfeccionamiento de las actividades de preparación y atención de emergencias o desastres, pasando a constituirse en un instrumento indicativo para la gestión descentralizada, de acuerdo a las específicas realidades de riesgos y de recursos de cada área geográfica del país. Incluye una guía para el uso de los informes ALFA y DELTA.</t>
  </si>
  <si>
    <t>Se trata del primer estudio de la Dirección Meteorológica de Chile sobre la temática “Eventos meteorológicos severos ocurridos en Chile continental, en el que se definen patrones sinópticos tipos asociados”, mediante el cual se analizan estadísticamente los eventos de precipitación y temperatura del aire, extremas a lo largo del país, determinando valores umbrales y configuraciones sinópticas asociadas que conducen a eventos extremos que pueden causar desastres naturales como inundaciones, aluviones, heladas y otros.</t>
  </si>
  <si>
    <t>Se trata del Protocolo ONEMI-DGA del 15 de febrero del 2012, que el que se establece los mecanismos de comunicación para la declaración de alertas de crecidas de ríos y lagos, con el objetivo de adoptar oportunamente las medidas preventivas destinadas a impedir o mitigar los riesgos asociados a estas crecidas de los cauces por razones climáticas. Facilita un anexo con los "umbrales de emergencia" de 78 estaciones, para dos límites: amarillo superior y rojo superior.</t>
  </si>
  <si>
    <t>Analiza los indicadores climáticos extremos de precipitación y temperatura propuestos por el Expert Team on Climate Change Detection Monitoring and Indices (ETCCDMI), a partir de series diarias de temperaturas extremas y precipitación en 17 puntos a lo largo de Chile, correspondientes al periodo 1961-1990. Este estudio y otros recientes muestran que la temperatura mínima diaria aumentó significativamente en el periodo 1961-1990, entre los 18°S y 40°S. Por otra parte, se observó un incremento significativo en el porcentaje de días al año cuando la temperatura máxima sobrepasa el percentil 90% (noches cálidas), en el número de días con temperatura máxima por sobre los 25°C (días de verano) y en la frecuencia de días con temperatura mínima superior a 20°C (noches tropicales), mientras que los indicadores de extremos fríos disminuyeron su frecuencia. Asimismo, en un porcentaje importante de indicadores se observa que la tendencia cambia al considerar un periodo más extenso (1961-2010), demostrando que la variabilidad decadal incide significativamente en las tendencias climáticas, lo que conlleva a incertidumbre en la interpretación futura. Este estudio muestra que la temperatura mínima diaria aumentó significativamente en el periodo 1961-1990, y un incremento significativo en el porcentaje de días al año cuando la temperatura máxima sobrepasa el percentil 90% (noches cálidas), mientras que los indicadores de extremos fríos disminuyeron su frecuencia. Asimismo, en un porcentaje importante de indicadores se observa que la tendencia cambia al considerar un periodo más extenso (1961-2010), demostrando que la variabilidad decadal incide significativamente en las tendencias climáticas. Se proyectan los valores climáticos principales para finales del siglo XXI.</t>
  </si>
  <si>
    <t>Documento elaborado por la Dirección Provincial de Protección Civil y Emergencia, y se ha basado en el Plan Nacional de Protección Civil elaborado por ONEMI. Este Plan busca potenciar las capacidades preventivas regionales y comunales, sin descuidar el continuo perfeccionamiento de las actividades de preparación y atención de emergencias o desastres, pasando a constituirse en un instrumento indicativo para la gestión descentralizada, de acuerdo a las específicas realidades de riesgos y de recursos de cada área geográfica. Presenta numerosas tablas de roles y organigramas para los distintos horizontes de las emergencias.</t>
  </si>
  <si>
    <t xml:space="preserve">Este documento fue realizado por la Plataforma Nacional durante los años 2012 y 2013,  se divide en tres partes. La primera se refiere a la importancia de contar en Chile con una política en gestión del riesgo. La segunda está constituida por la formulación de la política, los principios rectores, los ejes estratégicos y los objetivos consensuados por cada mesa de trabajo. Finalmente, se muestran una serie de anexos que complementan el documento, en donde se describe brevemente la contextualización geográfica de Chile y sus amenazas de origen natural, el marco normativo que existe en relación a la gestión del riesgo y la metodología de trabajo que fundamenta la formulación de la política. </t>
  </si>
  <si>
    <t>Es la tercera versión (18/11/2014) del Protocolo ONEMI-SHOA, que da las instrucciones sobre la coordinación del Sistema Nacional de Alarmas de Maremotos (SNAM), y las instituciones que la componen. El Servicio Hidrográfico y Oceanográfico de la Armada de Chile (SHOAC) es el organismo técnico, permanente y oficial del Estado responsable de la operación del SNAM, por su parte, la Oficina Nacional de Emergencia del Ministerio del Interior y Seguridad Pública (ONEMI), tiene la responsabilidad de adoptar las medidas pertinentes para la aplicación Plan Nacional de Protección Civil ante el riesgo de tsunamis. Responsabilidades, procesos, acciones, y boletines informativos de alertas.</t>
  </si>
  <si>
    <t xml:space="preserve">El Plan Regional de Emergencia define la gestión integral del manejo de riesgos y reducción de desastres en la Región del Maule, como estrategia efectiva de coordinación, con un claro enfoque participativo, integrando instancias sectoriales, científico-técnicas, privadas, voluntariado y comunidad organizada, en los niveles regional, provincial y comunal. Tiene como objetivos, arbitrar medidas orientadas a la educación, entrenamiento y capacitación de la población y de disponer de especialistas en protección civil para enfrentar de manera rápida, ordenada y segura, los problemas creados por: Terremotos y maremotos (tsunamis); Incendios con riesgo de explosión/contaminación; Incendios forestales; Temporales, inundaciones, aluviones; Accidentes con gran número de víctimas; Interrupciones de servicios vitales; Intoxicaciones masivas de la población; Derrame de sustancias químicas peligrosas; Accidentes en alta montaña; Epidemias y plagas; Sequías; Actividad volcánica; Radiación atómica. </t>
  </si>
  <si>
    <t>El PEP de Cauquenes establece normas, procedimientos y niveles de coordinación y responsabilidad de los diferentes estamentos públicos y privados, así como, de autoridades civiles, de orden y seguridad, para que en conjunto estructuren un plan y mando único, que permitan brindar respuesta oportuna y satisfactoria a la población, en la probabilidad que suceda una catástrofe que afecte a parte o la Provincia en general, actuando antes, durante y después de una situación de Emergencia.</t>
  </si>
  <si>
    <t>El PEP de Linares del año 2015, se desprende del nuevo Plan que consulta los aspectos preventivos, de mitigación, de preparación y alerta temprana, que responde a los compromisos internacionales suscritos por Chile en la “Década Internacional de Reducción de Desastres Naturales” y a la modernización del propio Sistema Nacional de Protección Civil, de acuerdo al Decreto Supremo de Interior N° 156 del 12 de marzo de 2002. Dispone de un marco nacional de gestión en protección civil que, bajo una perspectiva de administración descentralizada, sirve de base estructurada para las planificaciones regionales, provinciales y comunales, según las respectivas realidades de riesgos y de recursos.</t>
  </si>
  <si>
    <t xml:space="preserve">El PEP de Talca del año 2015, estructura las acciones frente a una situación que amenace o afecte directa o indirectamente a la población, a sus instalaciones, a sus vías de comunicación y a sus fuentes de abastecimiento, esto mediante una planificación y coordinación de acciones que permitan prevenir, educar y reaccionar, como así mismo atender satisfactoriamente a los requerimientos de la comunidad, activando para ello un plan preestablecido, probado y conocido por todos los entes participantes, actuando antes, durante y después de una catástrofe, para intentar mitigar el daño e impacto del fenómeno adverso. </t>
  </si>
  <si>
    <t>El PCE de la Comuna de Cauquenes, tiene como objetivo velar por la seguridad de los ciudadanos de la comuna de Cauquenes, sus bienes y medio ambiente, a través de la Gestión del Riesgo. El Plan tiene la misión de asesorar técnicamente a la autoridad en materias relacionadas con la Gestión del Riesgo, desarrollar las coordinaciones pertinentes con las diferentes instituciones y Servicios del Estado, Empresas, voluntariado, entidades científico-técnico y comunidad, en pro del desarrollo de acciones que concluyan en el bienestar biosicosocial y económico de la comunidad, para un desarrollo integral. Establece el Sistema de Alerta, verde, amarilla y roja. Cita como instrumentos normalizados, los informes Alfa, Beta, y de Respaldos.</t>
  </si>
  <si>
    <t>El PCPCYE de la Comuna de Parral, tiene como objetivo contribuir a mejorar la seguridad de las personas, sus bienes y su medio ambiente, sustentado en los principios básicos del sistema de protección civil, que son la ayuda mutua y el uso escalonado de los recursos de la Comuna de Parral. Se trata de un instrumento de la gestión en el cual los medios humanos y materiales disponibles, y los procedimientos de actuación para la prevención de riesgos se encuentran organizados, ordenados, estructurados y priorizados. Estructura las competencias y los roles de los distintos actores de los Comités intervinientes en la comuna de Parral, frente a una situación de alerta.</t>
  </si>
  <si>
    <t>El PCPC de la Comuna de Linares del 2015, tiene como objetivos disponer de una planificación multisectorial en materia de Protección Civil, de carácter indicativo, destinada al desarrollo de acciones permanentes para la prevención y atención de emergencias y desastres en el país, a partir de una visión integral de manejo del riesgo, bajo una perspectiva de administración descentralizada, y sirva de base estructurada para las planificaciones regionales, provinciales y comunales, según las respectivas realidades de riesgos y de recursos, estableciendo el ámbito general de las coordinaciones entre los distintos sectores y actores. Delimitando las responsabilidades políticas, legales, científicas, técnicas, como operativas, del Sistema Nacional de Protección Civil, en cada una de las etapas del ciclo de manejo de riesgos. Adicionalmente en el Capítulo VI, se definen los mapas de las distintas áreas de la Microzonificación de Linares para atender las situaciones de alertas por riesgo.</t>
  </si>
  <si>
    <t>El PCPCYE de la Comuna de Pelluhue, tiene como objetivos, el disponer de una planificación para el Comité de Protección Civil y Emergencia y la comunidad, destinada al desarrollo de acciones permanentes para la prevención y atención de emergencias y desastres en la Comuna, mantener una coordinación permanente con la Dirección Provincial y Regional de Emergencia, promover y ejecutar jornadas de capacitación para Juntas de Vecinos y otras organizaciones sobre Protección Civil y Emergencia, realizar procesos de Microzonificación de riesgos y recursos en el Comité y con la Comunidad, elaborar y mantener vigentes actividades para preparar y definir roles y funciones de los integrantes del Comité de Protección Civil y Emergencia.</t>
  </si>
  <si>
    <t>El PCE de la Comuna de Talca de 2015, es un Plan Comunal de Protección Civil y Emergencias de la comuna de Talca, que es una herramienta de gestión mediante el cual la Unidad Comunal de Protección Civil y Emergencias organiza, ordena, estructura y prioriza las unidades, medios y recursos disponibles, correspondiente a su unidad territorial, ante eventuales riesgos y emergencias, que amenazan a las personas, propiedades o sistemas de la comunidad. Tiene como objetivos disponer de una herramienta de planificación en materia de Protección Civil de carácter consultivo indicativo, destinada al desarrollo de acciones permanentes para la prevención y atención de emergencias y desastres en la comuna, a partir de una visión integral del manejo de riesgos.</t>
  </si>
  <si>
    <t>La GRPI del 2015, Se trata de una predicción realizada para el invierno de 2015, de acuerdo a un trabajo realizado en el levantamiento de información regional Plan de Invierno 2015, la Dirección Regional ONEMI Maule, identifica un total de 470 puntos críticos distribuidos en las 30 comunas de la región; los que se los clasifica en puntos críticos de Muy Alto Riesgo, puntos críticos de Alto Riesgo, puntos críticos de Medio Riesgo y puntos críticos de Bajo Riesgo. Este levantamiento se hizo sobre las potenciales actividades previstas para mitigar los riesgos, entre las que se destacan: 1) Limpieza de lechos, esteros, ríos, y canales, 2) Mejoramiento de colectores, desagües y evacuación aguas lluvias, 3) Defensas fluviales y construcción de gaviones, 4) Contención de laderas, 5) Mantenimiento de rutas, 6) Construcción de diques y estructuras ante crecidas, y 7) Limpieza de piscinas decantadoras.</t>
  </si>
  <si>
    <t xml:space="preserve">El PCE de la Comuna de Longaví, de 2012. El plan apunta al origen del riesgo, en forma permanente e integrada, es decir, al manejo integral de la Protección Civil, por lo que se propone la elaboración de diagnósticos, planificar y ejecutar las acciones que apuntan a las fases de prevención, respuesta y recuperación. Dispone de una planificación en materia de Protección Civil de carácter indicativo, destinada al desarrollo de acciones permanentes para la prevención y atención de emergencias y desastres en la comuna, a partir de una visión integral del manejo de riesgos. Se aportan los Mapas de Riesgo de la comuna para: derrumbes, emergencia química, incendio forestal, inundaciones, y nevadas. </t>
  </si>
  <si>
    <t>Es un Estudio realizado en colaboración con la FAO, en el que se propuso establecer metodologías para la gestión del riesgo asociado a eventos climáticos extremos, con particular referencia a las sequías en Chile, de modo de apoyar la iniciativa del Ministerio de Agricultura para desarrollar e implementar un Sistema de Gestión del Riesgo Agroclimático. Los objetivos del estudio se centraron en: a) Definir las condiciones de vulnerabilidad a la sequía, en sus dimensiones económica, ambiental y social, incluyendo las capacidades para enfrentar el fenómeno; b) Desarrollar criterios para la evaluación y seguimiento de impactos de la sequía en el ámbito rural; y c) Familiarizar el concepto de gestión de riesgo en diversos ámbitos del desarrollo rural.</t>
  </si>
  <si>
    <t xml:space="preserve">El PCPCYE de la Comuna de Chanco de 2014. Las frecuentes amenazas de origen natural o antrópicas a que es sometida la comuna, están contempladas en este Plan o Guía, tales como incendios, crecidas, sequías, sismos, accidentes de tránsito, etc. Se dispone de una planificación para el Comité de Protección Civil y Emergencia y la comunidad, destinada al desarrollo de acciones permanentes para la prevención y atención de emergencias y desastres en la Comuna, con una visión integral de manejo de riesgos. </t>
  </si>
  <si>
    <t>El PGTZR para la Región del Maule, concluye que a partir de la inversión en infraestructura realizada en el Plan Marco de Desarrollo Territorial, Territorios Cuenca del Mataquito, Talca Poniente, Embalse Ancoa y Maule Sur, se valida lo que se propuso al implementar el programa en cinco regiones de Chile en el año 2005, y se aprecia que a partir de este instrumento de planificación basado en el desarrollo de los territorios desde el punto de vista productivo el programa PIRDT aportó y abrió fuentes de financiamientos a sectores históricamente postergados, por presentar baja rentabilidad de inversión y alta dispersión de los habitantes de las localidades.</t>
  </si>
  <si>
    <t>PLAN SECANO MAULE SUR 2016-2018. INICIATIVAS E INVERSIONES DESARROLLO TERRITORIO SECANO MAULE SUR. COMUNAS DE CAUQUENES, CHANCO, PELLUHUE Y EMPEDRADO. REGIÓN DEL MAULE</t>
  </si>
  <si>
    <t>En el marco del Programa de Gestión Territorial para Zonas de Rezago, entre la que se encuentran estas cuatro comunas (Cauquenes, Chanco, Pellhué y Empedrado), el Plan propone una serie de iniciativas, proyectos e inversiones que implican recursos públicos o decisiones de asignación de recursos públicos para que, aquellas que sean de su competencia, sean aprobadas por el Gobierno Regional del Maule. El proceso se desarrolló concordada, participativa y progresivamente a través de las mesas público-privado-comunitarias temáticas y territorial, y discutido y afinado con el Intendente y demás autoridades regionales a través de la Mesa Técnica Regional.
Previamente, en el estudio se realiza un análisis de las principales actividades económicas del territorio, los recursos y capacidades de su gente, las oportunidades de desarrollo y las situaciones de rezago que dificultan su desarrollo. Entre éstas destaca el déficit de abastecimiento de agua potable rural (APR), que se sitúa en este terrritorio en un 27%, frente al 5% de la Region VII, debido a la escasez de recursos hídricos y a la falta de infraestructura hidráulica. También se destaca la poca tecnificación de los sistemas de riego.
Como metas para el año 2018, en cuanto al aprovechamiento de recursos hídricos,  se plantea incrementear en un 10% la superficie regable, reducir en un 25% los hogares abastecidos por camiones aljibes, y la construcción del embalse de Empedrado y el estudio de factibilidad y diseño del embase de Huedque.</t>
  </si>
  <si>
    <t>Tiene como objetivo general actualizar la Agenda de Innovación Agraria de la Región del Maule, con una perspectiva territorial y validación regional, que permita focalizar de mejor manera las futura intervenciones en temas de innovación agraria, tanto para el FIA como para otras agencias públicas y para agentes privados, con miras a fortalecer el desarrollo del sector silvo agropecuario local y regional, en un horizonte de mediano plazo (5años), considerando los instrumentos de orientación para el fomento y la innovación vigentes en la región para el sector agropecuario y forestal.</t>
  </si>
  <si>
    <t>Sin interés para el PMRH Maule</t>
  </si>
  <si>
    <t>El Informe tiene como objetivo general una evaluación costo-beneficio de los servicios prestados por la Red Hidrométrica Nacional (RHN). Se presenta la metodología de análisis costo-beneficio utilizada en la evaluación de los programas de mejoramiento que se proponen, basada en considerar que el principal objetivo de la RHN es proveer estadísticas relativas a medición de caudales, temperaturas, etc., que son utilizadas en los procesos de toma de decisiones. Es así como se distinguieron las decisiones asociadas a inversión, operación (gestión) y mitigación de pérdidas, que se sirven de la información que provee la
red. Adicionalmente, se presenta la metodología utilizada para la evaluación de la red actual, que se basa en comparar el escenario de continuidad de operación de la red con el de no hacerlo. En este último caso, se dejaría de recolectar información, con la correspondiente pérdida de calidad estadística. En la práctica, se sugiere comparar las pérdidas de precisión en las variables de diseño en obras de infraestructura, versus los costos de seguir realizando las mediciones.
Se propone un plan de mejoramiento para la RHN, específicamente en la Red Fluviométrica, Red Hidrometeorológica y la Red de Calidad de Aguas. Cada una de estas redes fue sometida a una revisión y análisis, considerando estudios existentes, criterios del consultor y experiencia internacional, de forma tal de definir ciertos mejoramientos específicos.
Se presenta el análisis costo-beneficio y se analiza el aspecto institucional de la RHN, entregando alguna idea sobre cual pudiera ser una alternativa con relación a la actual operación en manos del Estado.</t>
  </si>
  <si>
    <t>El objetivo central del presente trabajo es la formulación de una red de medición de
aguas subterráneas para la zona comprendida entre el río Mataquito (VII Región) y el río Maullín (X Región de Los Lagos). Los objetivos específicos del estudio son los siguientes: revisión de proposición de redes de aguas subterráneas de estudios anteriores; caracterización hidrogeológica general; identificación de requerimientos de información; proposición de red de aguas subterráneas; priorización de red oferta; proposición de recomendaciones.
Incluye análisis de la geología regional, hidrogeología, un catastro de captaciones, definición de acuíferos y profundidad de niveles y dirección de escurrimiento</t>
  </si>
  <si>
    <t>Se incluye la caracterización de las estaciones vigentes con la finalidad de evaluar si la red permite obtener información para el otorgamiento de derechos, detectar fuentes contaminantes, obtener un balance hídrico de alguna cuenca en particular y si con la red se puede determinar o prever eventos extremos. Junto a la propuesta de red hidrométrica, se valorizarán las mejoras y la posible ampliación de ella.
Se hace un análisis de la idoneidad de la ubicación de la estación en base al catastro realizado y otros antecedentes disponibles. Lo mismo se efectúa respecto de las variables medidas.
Complementariamente, se recogen las necesidades de las oficinas Regionales de Emergencia para enfrentar eventos extremos en lo relacionado con las mediciones de las Red Hidrométrica.</t>
  </si>
  <si>
    <t>PLAN REGIONAL DE ORDENAMIENTO TERRITORIAL(PROT)</t>
  </si>
  <si>
    <t>Instrumento de Planificación  que engloba la idea socioeconómica con la física, supera la parcialidad del enfoque temático en la planificación sectorial y ampliar la reducida escala espacial del planeamiento municipal</t>
  </si>
  <si>
    <t>La actualización del PRDU de la Región del Maule, tiene como objetivo proveer de un marco de Referencia para orientar a largo plazo las actuaciones sectoriales públicas y privadas en el territorio, por medio de Estrategias referidas al espacio territorial, metas referenciales respecto al sistema urbano regional y normativas básicas respecto al suelo regional. Por otra parte, las estrategias están dirigidas a poner en valor todas las condiciones locales que resultan oportunidades para el desarrollo, dentro de un criterio de sustentabilidad. Es un instrumento de planificación territorial en los niveles Intercomunal y Comunal, bases para acuerdos sobre una agenda operativa que se relaciona con los instrumentos vecinos del mismo nivel. Considera el marco de los grandes principios de la seguridad de las personas y el medioambiente. Incorpora el uso de los Sistemas de Información Geográficos como un medio para actualizar y modernizar la modalidad de seguimiento, administración y actualización de las bases de datos e información relacionada con la gestión del desarrollo urbano y rural en la escala Regional, Intercomunal y Comunal y, como soporte al proceso de desarrollo del Plan.</t>
  </si>
  <si>
    <t>PLAN DESARROLLO COMUNAL (PLADECO)</t>
  </si>
  <si>
    <t>El Plan de Desarrollo Comunal (PLADECO) es un instrumento de planificación y gestión con el que cuenta la Organización Municipal, y su propósito es contribuir a una administración eficiente de las Comunas y promover las iniciativas y proyectos destinados a impulsar el progreso económico, social y cultural de sus habitantes.
En el marco de las nuevas políticas para la descentralización del aparato del Estado, promoviendo la captación de recursos regionales y sectoriales. Las Municipalidades son la instancia más cercana a los ciudadanos de la comuna, y contribuyen un importante eslabón del sistema democrático, mejorando la forma de hacer gestión, desarrollando nuevas técnicas e incorporaciones de métodos y procedimientos acordes a la naturaleza de los fenómenos sociales, políticos y económicos. El PLADECO es un instrumento para toma de decisiones, cuyo propósito y alcance está pensado para que permita anticipar situaciones futuras, contribuya al debate comunal, constituya como una Guía para la acción, permita vincular las decisiones cotidianas y que sea eficaz herramienta de gestión.</t>
  </si>
  <si>
    <t xml:space="preserve">Definición de Embalse Colbún como Embalse de Control. Es un estudio realizado sobre los embalses con capacidad de regulación de crecidas, es decir aquellos que mediante el control de los caudales de vertidos y del volumen de almacenamiento durante una crecida, son capaces de presentar un efecto de regulación en los eventos máximos, con el objeto de mitigar parcial o totalmente los daños producidos aguas abajo por los desbordamientos del cauce, primordialmente en aquellas zonas previamente definidas como de riesgo. El Estudio analiza el caso particular del Embalse Colbún. El Embalse principal de Control del sistema corresponde a Colbún, debido a que controla 5.894 km2 del total de la superficie aportante de la cuenca del Maule de 20.228 km2. El embalse Colbún se caracteriza por disponer de una capacidad de almacenamiento según diseño de unos 1.540 hm3. Suficiente para retener una precipitación de más de 403 mm sobre su cuenca aportante, comparable a la precipitación acumulada máxima de 2 días con periodo de retorno de 50 años. En efecto el tamaño del embalse es tal, que el caudal medio anual del principal afluente, el río Maule, permite su llenado en 76 días y el volumen de almacenamiento disponible entre sus cotas de operación mínima y máxima permiten almacenar íntegramente el volumen asociado a las principales crecidas históricas registradas en los años: 1991, 2006 y 2008. Concluye el Estudio que la capacidad que dispone Colbún para regular las crecidas es considerable, fijando el caudal umbral a la salida de Colbún, a un caudal de 2.500 m3/s, el que corresponde a un periodo de retorno inferior a 5 años. </t>
  </si>
  <si>
    <t>Se trata del Resumen Ejecutivo del proyecto del canal. Es un Estudio de factibilidad que analiza una serie de alternativas, escogiendo como favorable de entre todas las alternativas, el caso 11 variante L 70. Los parámetros más importantes de esta alternativa y los resultados de su evaluación económica definieron un canal con una capacidad máxima inicial de 70 m3/seg, con una longitud de 74.3 km desde su bocatoma hasta el canal Ibáñez situado al norte del sistema Digua. Cruza varios cauces naturales, tales como los ríos Putagán, Achibueno y Longavi, entre otros.</t>
  </si>
  <si>
    <t>El Catastro Público de Aguas está constituido por archivos, registros e inventarios que el reglamento establece, se consignan todos los datos, actos y antecedentes que dan relación con el recurso hídrico, con las obras de desarrollo del mismo, con los derechos de aprovechamiento, con los derechos reales constituidos sobre éstos y con las obras construidas o que se construyan para ejercerlos. El Estudio se desarrolla en tres capítulos, i) Introducción y marco lega, ii) Metodología de Trabajo, y iii) Análisis y síntesis por cuenca. Se presentan los planos de las cuencas con el área catastrada, y el diagrama unifilar asociado.</t>
  </si>
  <si>
    <t>El Estudio presenta la información recolectada y procesada de los embalses mayores de la Sexta y Séptima Región, definiendo como embalses mayores aquellos que tienen una capacidad máxima de 50.000 m3 o muros con más de 5 m de altura. El alcance general que tiene este catastro de embalses, es el de la recolección y análisis de las características físicas de las obras e hidrográficas de los cuerpos de agua , mediante visitas de expertos al terreno; la toman de algunas dimensiones típicas de dichas obras, y la obtención de información mediante la entrevista a sus propietarios y/o beneficiarios. En aquellos casos en que se tuvo acceso a los proyectos, se verificaron algunos datos técnicos estimados en las visitas.</t>
  </si>
  <si>
    <t>En el contexto de los levantamientos de bocatomas, la Dirección General de Aguas del MOP promueve la realización de un primer catastro y levantamiento general de las bocatomas que captan aguas en las cuencas de los ríos Aconcagua, Rapel, Mataquito y Maule tendentes a establecer el inventario público de extracciones autorizadas y el inventario público de extracciones efectivas de aguas desde los cursos citados. Se presentan los planos de cuencas y subcuencas de los cauces naturales, como las tablas de las bocatomas con su asignación de acciones y caudales.</t>
  </si>
  <si>
    <t xml:space="preserve">El Estudio tiene como objetivo determinar el volumen óptimo del embalse Ciprés, mediante la evaluación y comparación económica de las soluciones. Se definieron cuatro alturas de presa dentro de las posibilidades físicas que ofrece el sitio de cierre del valle y, previo predimensionamiento de las estructuras y estimación de los respectivos presupuestos, se definió una función de “Costos de la presa y obras anexas versus Capacidad de embalse (Altura de la presa)” para escoger el diseño óptimo.
</t>
  </si>
  <si>
    <t>El Estudio incluye la formulación del “Plan Maestro de Evacuación y Drenaje de Aguas Lluvias de la Ciudad de Talca, VII Región”, que incluye además la localidad de Maule. El Plan tiene el siguiente alcance: i) Identifica y evalúa la problemática de la evacuación y drenaje de las aguas lluvias del área de estudio, y se proponen soluciones integrales, ii) Realiza una caracterización y diagnóstico de la situación actual, y se identifican los problemas, iii) Se seleccionan las zonas a sanear, iv) Propuesta de alternativas para dar solución a los problemas de evacuación y drenaje de las aguas lluvias, v) Se define y calcula la red primaria de sistemas de evacuación y drenaje de aguas lluvias, vi) Se priorizan los proyectos de inversión dentro del Plan Maestro de manera de que ello conduzca a la definición del Plan de Inversiones.</t>
  </si>
  <si>
    <t>Es la formulación del “Plan Maestro de Evacuación y Drenaje de Aguas Lluvias de la Ciudad de Curicó, VII Región”, que incluye además las localidades de Sarmiento y Romeral. El Plan tiene el siguiente alcance: i) Identifica y evalúa la problemática de la evacuación y drenaje de las aguas lluvias del área de estudio, y se proponen soluciones integrales, ii) Realiza una caracterización y diagnóstico de la situación actual, y se identifican los problemas, iii) Se seleccionan las zonas a sanear, iv) Propuesta de alternativas para dar solución a los problemas de evacuación y drenaje de las aguas lluvias, v) Se define y calcula la red primaria de sistemas de evacuación y drenaje de aguas lluvias, vi) Se priorizan los proyectos de inversión dentro del Plan Maestro de manera de que ello conduzca a la definición del Plan de Inversiones.</t>
  </si>
  <si>
    <t xml:space="preserve">Es una edición histórica y técnica de la evolución del riego en Chile, hace referencia a las distintas prácticas de riego en las distintas épocas, como así también a la legislación estatal sobre el riego. Realiza una visión general de la relación Suelos y Aguas, y finalmente presenta un inventario descriptivo de la Obras Hidráulicas Construidas entre los años 1939 a 2000. </t>
  </si>
  <si>
    <t xml:space="preserve">El Plan Maestro de Manejo de los Cauces Naturales para los ríos Maule, Claro y Loncomilla es una herramienta de planificación y programación tendente a la identificación y ordenamiento de las acciones estructurales y no estructurales, y en el manejo integral de los cauces naturales en el ámbito hidráulico fluvial y su relación con los aspectos físicos, ambientales, legales, culturales y sociales asociados a su entorno. La programación de inversiones propuestas en el Plan Maestro debe ser objeto de revisiones y actualizaciones periódicas, de modo de incorporar aquellas modificaciones que resulten del mayor desarrollo urbano o agropecuario y permita evaluar los resultados y efectos del funcionamiento de los cauces y su entorno a lo largo del tiempo, como así también de aquellos cambios que pudieran derivarse de la aplicación de nueva políticas institucionales. El documento elaborado facilita la toma de decisiones futuras de la gestión y manejo del cauce, así como lo atinente a la coordinación entre los entes del Estado en su rol de agentes reguladores o inversores, o entes de tipo privado. </t>
  </si>
  <si>
    <t>El Estudio apunta a resolver los problemas actuales de inundación por aguas lluvias en el sector de Cuellár Norponiente de Linares, desde el punto de vista de la factibilidad y el diseño de ingeniería a nivel de detalle de los proyectos propuestos en el Plan Maestro. También apunta a resolver los problemas de drenaje de aguas  lluvias futuros en un sector que, aunque actualmente corresponde a sectores agrícolas o de expansión urbana aún no están consolidados, pero se proyecta como el eje principal de la futura expansión urbana de la ciudad. Con el Diseño definitivo, la Dirección de Obras Hidráulicas dispone de los antecedentes técnicos y legales necesarios para proceder a licitar la construcción de las obras del sistema Cuéllar Norponiente, propuesto en el Plan Maestro de Evacuación y Drenaje de Aguas Lluvias de Linares.</t>
  </si>
  <si>
    <t>La implementación de un SIG para la GPMALL de Talca, tiene el propósito de contar con información organizada y actualizada del Plan Maestro de evacuación de aguas lluvia de Talca realizado en el año 2000. La DOH mediante este proyecto de “Implementación de un SIG para la Gestión del Plan Maestro de Aguas Lluvia de Talca” (SIG-PM-09), genera un sistema de información alfanumérico y espacial (metadatos) que permite, por un lado, almacenar y actualizar la información elaborada por el Plan Maestro, con el propósito de utilizarla como insumo para el desarrollo de las diferentes etapas de un proyecto, desde el nivel de factibilidad hasta su ejecución, y por otro, para el seguimiento físico de la operación de las obras proyectadas.</t>
  </si>
  <si>
    <t xml:space="preserve">El Catastro de Embalses abarca las siguientes actividades: i) Se realiza un catastro de todos los embalses ubicados dentro de la zona de catástrofe individualizada en el Decreto Supremo N°150, de 27 de Febrero de 2010, del Ministerio del Interior (Regiones V a la IX), ii) Se confeccionan archivos shape temáticos de los embalses, con una base de datos completa, iii) Se producen proyectos SIG, uno para cada región, y uno a nivel nacional, iv) Se elaboran mapas a nivel de cada Región. El número total de embalses catastrados en la Región VII Maule es de 69 según las fuentes documentales oficiales, mientras que desde Google Earth se identifican 212. Se presentan los resultados de los proyectos SIG de los embalses.
</t>
  </si>
  <si>
    <t>Es la Carta topográfica con la información de los embalses de la Región VII Maule, según las fuentes oficiales.</t>
  </si>
  <si>
    <t xml:space="preserve">El Estudio se enmarca en un programa puesto en marcha por la DOH para materializar el cumplimiento de la Ley N°19.525. Dicha ley, que regula sistemas de evacuación y drenaje de aguas lluvias, fue publicada el 10 de noviembre de 1997 en el Diario Oficial. A tavés de esta ley, la DOH tiene la responsabilidad sobre la planificación, estudio, proyección, construcción, operación, reparación, conservación y mejoramiento de la red primaria de sistemas de evacuación y drenaje de aguas lluvias, hasta su evacuación en cauces naturales. El área de estudio se sitúa en la comuna de Constitución, VII Región del Maule y el área de influencia de este Estudio comprende la ciudad de Constitución y su área de expansión, que incluye principalmente el sector de Quivolgo. 
</t>
  </si>
  <si>
    <t>Es el Informe de Reparación del sifón de tubería metálica del Canal Cumpeo sobre el río Claro. Por las indicaciones del informe, el sifón adolecía de falta de mantenimiento, y se encontraba muy aterrado con sedimentos, además de tener un para de tramos con abolladuras. Al conducto metálico de 1,20 m de diámetro y 85 m de largo, se le extraen los sedimentos mediante palas y cubos, y se cambian ambos tramos de por conductos nuevos de unos 2,00 m cada uno. El trabajo completo se realiza en un mes.</t>
  </si>
  <si>
    <t>El documento detalla la situación del valle con proyecto, estudios básicos de clima, meteorología, situación de Junta de Vigilancia de Rio Teno, situación de los canales con derechos compartidos, un análisis legal sobre organizaciones de usuarios segunda sección del rio Archibueno, Derechos de aprovechamiento y distribución, proyecto de presa y obras anexas, beneficios agroeconómicos del proyectos, evaluación económica del proyecto.</t>
  </si>
  <si>
    <t>El documento detalla la situación del valle con proyecto, estudios básicos de clima, meteorología, situación de Junta de Vigilancia de Rio Archibueno, situación de los canales con derechos compartidos, un análisis legal sobre organizaciones de usuarios segunda sección del rio Archibueno, Derechos de aprovechamiento y distribución, proyecto de presa y obras anexas, beneficios agroeconómicos del proyectos, evaluación económica del proyecto.</t>
  </si>
  <si>
    <t>Catastro de iniciativas y canales , desarrolladas a nivel de idea, perfil, prefactibilidad, factiblidad y diseño en las 12 Regiones.</t>
  </si>
  <si>
    <t xml:space="preserve">El objetivo del documento es realizar una catastro de los embalses orientado a la prevención de deterioro o eventual destrucción de estas obras pudiendo afectar a la seguridad de terceros.
Realiza un catastro de los embalses según unas fichas de catastro, un estudio de crecidas , análisis de estabilidad, análisis de filtraciones y caudales de vertederos. En el punto último se analiza el Riesgo 
</t>
  </si>
  <si>
    <t>El objetivo del estudio es evaluar las alternativas de mejoramiento del sistema de riego de zona del río Huedque complementado con participación ciudadana. Realiza un diagnóstico del territorio en contextualización social y territorial de área de estudio, abordando la caracterización de actores y organizaciones, sus relaciones y las problemáticas que afrontan.</t>
  </si>
  <si>
    <t>Tomo III Estudio Hidrológico del estudio de Prefactibilidad “Mejoramiento del Sistema de Riego en el Río Archibueno, Región del Maule”. Se divide en estudio Hidrológico y Modelos de Gestión de Recursos Hídricos.</t>
  </si>
  <si>
    <t>Anexos Digitales</t>
  </si>
  <si>
    <t>Estudio de análisis de potenciales microgeneración desarrolladas por Energías Renovables no Convencionales. Completa un catastro de Potencial Hidroeléctrico menor a 2Mw asociado a obras de riego existentes o en proyectos.</t>
  </si>
  <si>
    <t>Planos</t>
  </si>
  <si>
    <t>Se trata una segunda etapa de los levantamientos de bocatomas, de donde surge la necesidad de efectuar un profundo análisis de toda la información relativa a las extracciones efectuadas en cauces naturales, con énfasis en dos aspectos centrales, las extracciones autorizadas y las extracciones efectivas. Naturalmente se derivan actividades complementarias de terreno orientadas a la ubicación precisa de las obras de captación y sus características pertinentes cuando no existe información previamente levantada, la que en general es insuficiente. El Departamento de Estudios y Planificación de la Dirección General de Aguas encargó la ejecución del estudio "Levantamiento de Bocatomas en Cauces Naturales, Il Etapa", y se realizó un exhaustivo reconocimiento de las obras de bocatoma en algunos cauces naturales, su ubicación, características, extracciones autorizadas y efectivas. Presenta las tablas con los listados de las bocatomas, y asignaciones de acciones y caudales.</t>
  </si>
  <si>
    <t>EVALUACIÓN RED HIDROMÉTRICA NACIONAL. ANEXO</t>
  </si>
  <si>
    <t>En este anexo se muestra el análisis que fuera realizado en dos cuencas específicas a objeto de investigar las necesidades de información que los regantes requieran de la Red Hidrométrica Nacional, y como ella puede serles útil en sus actividades diarias. Recopila las entrevistas a diferentes comunidades de usuarios, canalistas y juntas de vigilancia, realizadas con objeto de recabar información sobre el acceso al Derrecho de Agua y la gestión para la distribución del agua entre los diferentes usuarios.</t>
  </si>
  <si>
    <t>CONSTRUCCION EVACUACIÓN AGUAS LLUVIAS SISTEMAS ESTERO EL CARBÓN CONSTITUCIÓN. ANEXOS Y ESTUDIO DE ANÁLISIS AMBIENTAL</t>
  </si>
  <si>
    <t>Contiene los anexos del proyecto, entre ellos el Anexo de Hidrología, y el Estudio Ambiental. El estudio de hidroogía se limita al cálculo de la precipitación máxima en 24 horas para diferentes periodos de retorno (1 a 100 años) mediante diferentes funciones de ajustes (Normal, Gumbel, Pearson, Log-Normal y Log-Pearson), datos que se emplean en el modelo precipitación-escorrentía paraa generar los caudales de diseño de los colectores.</t>
  </si>
  <si>
    <t>Se trata de una hoja de cálculo en Excel donde figuran diversas columnas, entre las que se destacan: la comunidad de agua, la comuna, el caudal otorgado, coordenadas, fecha de inscripción, y otros parámetros.</t>
  </si>
  <si>
    <t>Los contenidos de este documento se originan de una investigaci6n desarrollada como Proyecto DIUC 95/87, financiado par la Dirección de Investigación de la Pontificia Universidad Católica de Chile, y cuyos objetivos fueron: a)Definir los problemas ambientales de Chile y reconocer los principales parámetros que permiten identificarlos. b)Ordenación de los problemas ambientales, por su importancia y por la posibilidad de intervenir en ellos mediante medidas de control. c)Establecer para cada uno de los problemas ambientales identificados su distribución geográfica regional y el grado de importancia relativa de los mismos, d) Construir un Atlas de la percepción de los problemas ambientales del país por región y por tipo de problemas. Se hace una descripción detallada de estos conceptos para todas las regiones del país.</t>
  </si>
  <si>
    <t>Es un informe de Medio Ambiente a nivel Nacional de ENDESA, del año 2007, particularizado a todas sus infraestructuras de generación eléctrica.</t>
  </si>
  <si>
    <t xml:space="preserve">El objetivo de este Estudio es presentar los trabajos realizados en el secano, sobre las alternativas de utilización de agua realizados durante dos años, temporadas 93-94 y 94-95, orientadas a superficies no superior a 0,60 hectárea en el secano interior y no superior a una hectárea en el secano costero, considerando la utilización de vertientes cuyo caudal no escurre de la zona de origen, conocidos como "charcos de agua". </t>
  </si>
  <si>
    <t>Este Catastro ODEPA es una actualización a enero de 2016, su contenido está representado por tablas y cuadros referidos a: i) Economía Regional, ii) Aspectos Geográficos y Demográficos, iii) Perfil de los productores, iv) Cultivos, Censal y Anual, v) Ganadería y riegos, vi) Exportaciones, vii) División Política y Administrativa, viii) Autoridades, y ix) Antecedentes sociales Regionales.</t>
  </si>
  <si>
    <t>DT040</t>
  </si>
  <si>
    <t>DT090</t>
  </si>
  <si>
    <t>EX027</t>
  </si>
  <si>
    <t>IH093</t>
  </si>
  <si>
    <t>CATASTRO DE POZOS POR REGIÓN</t>
  </si>
  <si>
    <t>Departamento de Hidrología. DGA</t>
  </si>
  <si>
    <t>Augusto Schultz</t>
  </si>
  <si>
    <t>Datos de las captaciones de aguas subterráneas, con anotación de: sector, nº pozo, predio, propietario, constructor, metros perforados, caudal, nivel dinámico y estático, fecha de bombeo, uso del agua, análisis químicos, perfil estratigráfico. (No hay datos de coordenadas)</t>
  </si>
  <si>
    <t xml:space="preserve">Sin interés para el PMRH: datos antiguos y sin coordenadas para situar puntos de agua.           </t>
  </si>
  <si>
    <t>EH005_CatastroPozos_1984.zip</t>
  </si>
  <si>
    <t>ANÁLISIS CRÍTICO DE LA  RED DE MEDICIÓN DE NIVELES DE AGUA SUBTERRÁNEA</t>
  </si>
  <si>
    <t>ALAMOS Y PERALTA. INGENIEROS CONSULTORES</t>
  </si>
  <si>
    <t xml:space="preserve">Memoria, Anexos y Planos (con localización de puntos de la red de control). Ámbito de 6 cuencas: Mataquito (con 3 subcuencas), Maule, Rapel, Costeras entre 6ª Región y Mataquito, Costeras entre Mataquito y Maule, Costeras entre Maule y 8ª Región. Datos de medidas de niveles dinámicos y estáticos y gráficos de evolución, fichas de pozos (53) de medida y datos de calidad del agua </t>
  </si>
  <si>
    <t>Sin interés para el PMRH: datos antiguos de niveles estáticos/dinámicos y calidad del agua. Fichas de 53 puntos de agua. Los puntos están con coordenadas geográficas, nomenclatura de CIREN. (No se dispone del shp)</t>
  </si>
  <si>
    <t>EXPLORACIÓN DE LOS RECURSOS HÍDRICOS SUBTERRÁNEOS. VII REGIÓN. INFORME FINAL</t>
  </si>
  <si>
    <t xml:space="preserve">Memoria, Anexos, Resumen Ejecutivo. Incluye E.Hidrológico e Hidrogeológico. Demandas de agua. Balance hídrico del total de los recursos hidricos, incluyendo los subterráneos, por cuencas y subcuencas. Modelo de simulación del sistema del río Cauquenes. Inventario y medidas del NP en 290 puntos de agua subterránea. Parámetros elásticos en 8 puntos. Datos de calidad del agua en 37 pozos de la Región. Estudio geofísico en el río Cauquenes (perfiles geofísicos). </t>
  </si>
  <si>
    <t>Interés para cuencas de los ríos Maule, Mataquito y Cauquenes, aunque con datos del 1999. Interes para conocer la geometría en profundidad del valle del río Cauquenes (perfiles geofísicos). Interés para conocer datos de 290 puntos de agua inventariados. (No se dispone del shp de las 290 captaciones) Considera 3 sectores acuíferos en la río Maule</t>
  </si>
  <si>
    <t>Los objetivos específicos del Plan son los siguientes:
• Disponer del Modelo MAGIC-Maule Actualizado y Calibrado, como una herramienta de análisis que permita representar la situación actual, y para la posterior evaluación de los escenarios futuros 
• Actualizar el Diagnóstico de la Cuenca elaborado en el estudio “Bases para la Elaboración del Plan Director Cuenca Río Maule” desarrollado para la DGA  por AC Ingenieros Consultores (2003).
• Efectuar un Ordenamiento y una Sistematización de la Información entregada por el diagnóstico actualizado, y obtener así las necesidades del territorio en el ámbito del agua.
• Establecer Objetivos Prioritarios para la Cuenca en el ámbito del agua y los recursos naturales
• Analizar las Intervenciones del MOP propuestas para ser iniciadas en los siguientes 10 años
• Analizar las Intervenciones de otros Entes Fiscales
• Confección de la Matriz de Intervenciones/Objetivos Prioritarios en base a la cartera de proyectos actualizada
• Formular un Plan de Acciones en la Cuenca
• Realizar la Evaluación Económica del Plan,en un plan de acción de corto (5 años), mediano (10 años), y largo plazo (20 años)
• Proponer las Formas de Coordinación entre Instituciones Públicas y/o Privadas
• Validar el Plan Director Propuesto, basado en la interacción con los usuarios del agua
• Proponer los Mecanismos para la Implementación del Plan Director propuesto</t>
  </si>
  <si>
    <t>Este documento presenta una primera prueba a escala nacional de la aplicación de los criterios de la metodología de evaluación del estado de conservación de los ecosistemas de la Unión Internacional para la Conservación para la Naturaleza (IUCN), en los ecosistemas terrestres de Chile, para evaluar su aplicabilidad en el país.</t>
  </si>
  <si>
    <t xml:space="preserve">Información relevante en el análisis de calidad da agua en la cuenca del Río Maule y Río Mataquito. Caracterización físico-química. </t>
  </si>
  <si>
    <t>Información de relevante para el análisis de calidad de aguas en el regadío específicamente. Estrategias de Control de eutrofización</t>
  </si>
  <si>
    <t xml:space="preserve">Información relevante en el análisis de calidad da agua y líneas de estrategia de gestión de la cuenca del Río Maule. Además contiene información relevante para la caracterización turística de la región. </t>
  </si>
  <si>
    <t>Información relevante en el análisis de calidad da agua sobre la contaminación de agua en la séptima región.</t>
  </si>
  <si>
    <t>Información relevante en el análisis de calidad da agua superficial  y subterránea que contiene un análisis de la data histórica de calidad de aguas de la DGA a nivel de Subcuenca.</t>
  </si>
  <si>
    <t xml:space="preserve">Información relevante para el análisis de  cambio climático, determinación de la influencia de la Niña en el territorio. </t>
  </si>
  <si>
    <t>Información relevante para el análisis del cambio climático, vulnerabilidad del sector silvoagropecuario en San Miguel.</t>
  </si>
  <si>
    <t xml:space="preserve">Información relevante para el análisis del cambio climático déficit hídrico. </t>
  </si>
  <si>
    <t>Información relevante para el análisis del cambio climático, erosión actual y potencial.</t>
  </si>
  <si>
    <t>Información relevante para el análisis de planificación territorial como la visón actualizada del desarrollo territorial regional. Se define la imagen objetivo Maule 2020.</t>
  </si>
  <si>
    <t xml:space="preserve">Información relevante para el análisis de planificación territorial con objetivos de desarrollo urbano y turístico de área ocupando las zonas de valor natural paisajístico existentes. </t>
  </si>
  <si>
    <t xml:space="preserve">Información relevante en el análisis de la situación ambiental, identificación del nivel ecocomico-social  con la conciencia sobre el medio natural. </t>
  </si>
  <si>
    <t>Información relevante para el análisis de planificación territorial</t>
  </si>
  <si>
    <t>Información relevante para el análisis de planificación territorial en ámbito comunal.</t>
  </si>
  <si>
    <t>Información relevante para el análisis de la red hidrométrica y balance hídrico</t>
  </si>
  <si>
    <t>Información relevante para el análisis de la red hidrométrica, oferta hídrica superficial; y subterránea. Incluye información relevante para el análisis de insumos para la gestión hídrica y herramientas de análisis.</t>
  </si>
  <si>
    <t xml:space="preserve">Contenido relevante en el análisis de Insumos para la Gestión Hídrica y Herramientas de Análisis, como modelo Hidrologico, MAGIC-Maule.Además el informe contiene información de interés en  hidrométrica. Se obtiene información para conocimiento de la evolución de la Red Hidrométrica, análisis sintético de la idoneidad de la red hidrométrica Incorpora datos de interés de estaciones de aguas subterráneas de la VII región. </t>
  </si>
  <si>
    <t xml:space="preserve">Informe de referencia para el análisis de oferta y demanda hídrica en la cuenca de Mataquito. Dispone de datos de caudales medios mensuales. </t>
  </si>
  <si>
    <t xml:space="preserve">Análisis de la oferta hídrica en la región y calidad de agua superficial y subterránea. Caracterización fisicoquímica con parámetros según el uso agrícola y Potable. </t>
  </si>
  <si>
    <t>Informe de interés para el análisis de oferta hídrica de la cuenca del Maule. Contiene información relevante para la demanda hídrica para varios sectores tales como hidroeléctrico, industrial, entre otros</t>
  </si>
  <si>
    <t>Información relevante para el análisis del balance hídrico , oferta hídrica superficial y cálculo de caudal ecológico.</t>
  </si>
  <si>
    <t xml:space="preserve">Informe para el análisis de Insumos para la Gestión Hídrica y Herramientas de Análisis, como modelo  hidrológico acoplado en SIG  en el ámbito de las cuencas de Maule y Mataquito .
Incluye información para el análisis de oferta hídrica en la cuenca del Maule. Además contiene información relevante para la demanda en diferentes usos y catastro de derechos de agua. Además de información relevante en el balance hídrico
</t>
  </si>
  <si>
    <t xml:space="preserve">Se obtiene información relevante a la demanda hídrica de la región completa e incorpora información de oferta. </t>
  </si>
  <si>
    <t xml:space="preserve">Informe de interés para el análisis de oferta hídrica superficial y subterránea, demanda según usos, información hidrogeológica de la Cuenca del Río Maule. Utilización y calibración del modelo MAGIC, con los parámetros del modelo de aguas subterráneas MODFLOW. Contiene una zonificación nueva de acuíferos para ser usada en el modelo MAGIC-Maule. 
 Es utilizado a demás como antecedente para obtener información sobre cantidad y calidad  de la infraestructura de riego, pozos de monitore , entro otra infomracion de interes.
</t>
  </si>
  <si>
    <t>Informe relevante en el análisis de recursos subterráneos y en insumos para la gestión hídrica y herramienta de análisis.</t>
  </si>
  <si>
    <t xml:space="preserve">Revisar
Análisis de la red hidrométrica, oferta hídrica, y planeación territorial y turismo.
Se obtiene un análisis territorial sobre la base de aspectos  y componentes en la región de deferentes ámbitos.
</t>
  </si>
  <si>
    <t xml:space="preserve">Información relevante para el análisis de planificación territorial como política orientadora en la planificación hídrica con propuestas e iniciativas. </t>
  </si>
  <si>
    <t xml:space="preserve">Contenido relevante para la formulación de capítulo de análisis de insumos de gestión hídrica y herramientas de análisis como modelos numéricos en la cuenca del Mataquito.
Además incorpora información a el análisis de los recursos hídricos subterráneos en la cuenca del Mataquito. Información hidrogeológica de esta cuenca.
</t>
  </si>
  <si>
    <t>Información relevante para el análisis de eventos en el Rio Teno como los caudales máximos en la estación de estudio.</t>
  </si>
  <si>
    <t>Información relevante para el análisis de oferta y demanda hídrica.</t>
  </si>
  <si>
    <t>Información relevante en el desarrollo del capítulo de infraestructura hidráulica, especialmente en manejo de cauces y  defensas fluviales en los rios Teno, Lontué y Mataquito. Determinación de zonas indudables urbanas. Nuevas propuestas estructurales.</t>
  </si>
  <si>
    <t>Información relevante en el desarrollo del capítulo de infraestructura hidráulica, especialmente en manejo de cauces y  defensas fluviales en los ríos Maule, Claro, Loncomilla. Determinación de zonas indudables urbanas. Nuevas propuestas estructurales.</t>
  </si>
  <si>
    <t xml:space="preserve">Información relevante en el desarrollo del capítulo de infraestructura hidráulica, especialmente en manejo de cauces y  defensas fluviales. Incluye información útil en el análisis de insumos para la gestión hídrica. </t>
  </si>
  <si>
    <t>Información relevante para el análisis de eventos extremos como el estudio hidrológico del rio Archibueno.</t>
  </si>
  <si>
    <t>Información relevante para el análisis de eventos extremos es documento base de prevención y mitigación ante eventos extremos en ámbito Nacional.</t>
  </si>
  <si>
    <t>Información relevante para el análisis de crecidas con una base de datos meteorológicas</t>
  </si>
  <si>
    <t>Información relevante para el análisis de eventos extremos con modelos matemáticos en la predicción del comportamiento de caudales.</t>
  </si>
  <si>
    <t>Documento normativo con información relevante para el análisis de eventos extremos, indica obligaciones de los operadores ante la declaración de alerta, entre otros aspectos</t>
  </si>
  <si>
    <t>Información relevante para el análisis de eventos en la revisión de los umbrales de alerta de crecidas.</t>
  </si>
  <si>
    <t>Información relevante para el análisis de eventos extremos, protocolo de prevención ante crecidas define niveles de responsabilidades y umbrales de alerta.</t>
  </si>
  <si>
    <t>Información relevante para el análisis de eventos extremos especialmente en diagnóstico de indicadores de dichos eventos.</t>
  </si>
  <si>
    <t>Información relevante para el análisis de eventos extremos como plan de alerta temprana de la provincia de Curicó</t>
  </si>
  <si>
    <t>Información relevante para el análisis de eventos extremos, establece ejes estratégicos de gestión de riesgos.</t>
  </si>
  <si>
    <t>Información relevante para el análisis de eventos extremos, contiene los procedimientos, sistemas, roles y  entre otros ítems ante desastres o catástrofes. Contiene información relativa a la respuesta técnica operativa y táctica ante estos eventos, como la formación del Comité de Operaciones de Emergencia.</t>
  </si>
  <si>
    <t>Información relevante para el análisis de eventos extremos como plan de alerta temprana de la provincia de Cauquenes</t>
  </si>
  <si>
    <t>Información relevante para el análisis de eventos extremos como plan de alerta temprana de la provincia de Linares</t>
  </si>
  <si>
    <t>Información relevante para el análisis de eventos extremos como plan de alerta temprana de la provincia de Talca</t>
  </si>
  <si>
    <t>Información relevante para el análisis de eventos extremos donde se detallan los puntos críticos proyectados para el ultimo año 2015.</t>
  </si>
  <si>
    <t>Información relevante en el análisis de la situación ambiental más detalladamente en el catastro y revisión de las áreas silvestres de protección.</t>
  </si>
  <si>
    <t xml:space="preserve">Información relevante en el análisis de la situación ambiental, concretamente en el análisis de áreas de protección o conservación existentes. Interesante para el diagnóstico ambiental como estrategia a la diversidad de la región. </t>
  </si>
  <si>
    <t>Información relevante en el análisis de la situación ambiental concretamente en la identificación de presiones antrópicas y naturales sobre los recursos hídricos.</t>
  </si>
  <si>
    <t>Información relevante en el análisis de la situación ambiental, concretamente en el análisis de áreas de protección o conservación existentes</t>
  </si>
  <si>
    <t>Información relevante en el análisis de la situación ambiental en iniciativas específicas para la región del Maule.</t>
  </si>
  <si>
    <t xml:space="preserve">Información relevante en el análisis de la situación ambiental concretamente en la identificación de presiones antrópicas y naturales sobre los recursos hídricos. Cambios de cobertura del suelo, datos de deforestación, presión sobre recursos naturales incluidos los recursos hídricos. </t>
  </si>
  <si>
    <t>Información relevante en el análisis de la situación ambiental, pasivos ambientales.</t>
  </si>
  <si>
    <t xml:space="preserve">Información relevante en el análisis de la situación ambiental, concretamente en el análisis de áreas de protección o conservación existentes. Contiene información de los sistemas de protección oficial existentes y evaluar el aporte del resto de los sistemas de protección en Chile, como el escenario actual áreas protegidas. </t>
  </si>
  <si>
    <t>Información relevante en el análisis de la situación ambiental específicamente en impactos y consecuencias ambientales. Entrega Información para el análisis de la situación del agua y otros recursos y sobre todo de la presión antrópica de la actividad agrícola sobre estos recursos.</t>
  </si>
  <si>
    <t xml:space="preserve">Información relevante en el análisis de la situación ambiental específicamente en impactos y consecuencias ambientales. </t>
  </si>
  <si>
    <t>Información relevante en el análisis de la situación ambiental concretamente en la identificación de presiones antrópicas y naturales sobre los recursos hídricos. El documento incluye información relevante respecto a una perspectiva de ordenamiento territorial con incorporación medioambiental.</t>
  </si>
  <si>
    <t xml:space="preserve">Información relevante en el análisis de la situación ambiental concretamente en la identificación de presiones antrópicas y naturales sobre los recursos hídricos como conjunto de resultados de la gestión ambiental en el año considerado,2014. Los ámbitos son equidad ambiental, regulación ambiental, cambio climático, entre otros. </t>
  </si>
  <si>
    <t>Información relevante en el análisis de la situación ambiental, más específicamente en estimación del caudal ecológico.</t>
  </si>
  <si>
    <t>CRITERIOS Y METODOLOGÍA PARA LA DETERMINACIÓN DEL CAUDAL ECOLÓGICO EN EL MARCO DEL SEIA</t>
  </si>
  <si>
    <t>Departamento de Conservación y Protección de Recursos Hídricos</t>
  </si>
  <si>
    <t>RH015_ExploracRHSub_VII_Region_1999.zip</t>
  </si>
  <si>
    <t>MA105_CriteriosMetodCaudalEcolSEIA_2011.pdf</t>
  </si>
  <si>
    <t>EX027LEYembalses_2010.pdf</t>
  </si>
  <si>
    <t>DT090 Pladeco Rmaule.zip</t>
  </si>
  <si>
    <t>DT040_PROT_2011</t>
  </si>
  <si>
    <t>Citado en Informe</t>
  </si>
  <si>
    <t>Si</t>
  </si>
  <si>
    <t>No</t>
  </si>
  <si>
    <t>Investiga el comportamiento de las crecidas por medio del análisis de los caudales puenta en cuatro estaciones fluviométricas, distribuidas en las uencas del río Maule y el Mataquito.
Se generaron modelos matemáticos para predecir el caudal puenta aguas abajo, a partir de los caudales punta de las estaciones ubicadas auas arriba.</t>
  </si>
  <si>
    <t>El estudio se enmarca en el contexto del proyecto Visión, Logros y Desafíos del Ministerio de Agricultura, 2010-2014. Esta iniciativa fue impulsada por la misma cartera, en conjunto con FIA, y consta de seis partes: un texto inicial de introducción y síntesis, seguido de cinco documentos para cubrir cada uno de los pilares que han orientado el trabajo de la institución.</t>
  </si>
  <si>
    <t>El  documento constituye un aporte conjunto de la Universidad de Talca y del Gobierno Regional, a una Política de Desarrollo Rural de la Región del Maule. Se sustenta en los lineamientos establecidos en la Estrategia Regional de Desarrollo 2020 (entregada a la comunidad hace un mes) como asimismo, en los aportes de sobre 300 actores relevantes de la región que participaron en 07 talleres territoriales, 01 seminario internacional, 02 talleres metodológicos y 53 entrevistas estructuradas. Los contenidos de ambas fuentes permitieron orientar este estudio requerido por el Gobierno Regional, bajo cuatro principios o ejes estratégicos estructurantes: i) Competitividad de la Economía Rural (CER); ii) Dimensión Social Rural: Calidad de Vida y Diversificación Laboral (DSR); iii) Medio Ambiente, Infraestructura y Territorio Rural (MAITR); iV) Gobernanza Rural (GR).
Para lo señalado, se aplicó la metodología de AHP o Proceso de Análisis Jerárquico, y que se vinculó con la matriz de impactos cruzados (método MIC MAC). Así se obtuvo la ponderación porcentual de cada eje y lineamientos, en virtud del cual la autoridad podrá tomar decisiones, asignar recursos y evaluar impacto en función del modelo de gestión diseñado para la presente política pública.</t>
  </si>
  <si>
    <t>El resultado de este análisis es una Síntesis Territorial, que concluyó en la conformación de las Unidades Territoriales Homogéneas e identificó diferentes ideas fuerza como imagen objetivo.</t>
  </si>
  <si>
    <t>El documento recoge el levantamiento de información hidrogeológica para luego poder establecer un modelo conceptual de la cuenca y establecer una red de estaciones de monitoreo que permita recopilar información en el tiempo para poder realizar el balance subterráneo de la misma. La elaboración de esta red básica de monitoreo forma parte de las labores a ser ejecutadas en la siguiente etapa del estudio. 
Incluye las siguientes actividades: 
• Recopilación y Análisis de Antecedentes.
• Caracterización Hidrogeológica, la cual se compone de trabajos de terreno, caracterización geológica y geomorfológica, caracterización de los acuíferos, definición de parámetros elásticos.
• Desarrollo del modelo conceptual para la cuenca.
• Proposición de una red básica de monitoreo.</t>
  </si>
  <si>
    <t>El documento corresponde al Informe Final del Estudio, el cual incluye los siguientes trabajos:
- Recopilación y sistematización de toda la información disponible tanto de los recursos básicos como de las características socioeconómicas de los agricultores de las zonas de secano incluidas en el área de estudio, mediante la homogeneización y análisis crítico de estudios y proyectos existentes y en ejecución.
- Compilación de información actualizada sobre los recursos básicos en las cuencas que forman el área de estudio, tales como agua. clima, suelo y caracterizar los estratos y actores que manejan estos recursos.
- Digitalización de información y mapas  para toda el área del secano considerada en el estudio.
- Identificación y desarrollo de proyectos piloto. que puedan postular a los beneficios de la Ley N°18.450, de Fomento a la Inversión Privada en Obras de Riego y Drenaje.</t>
  </si>
  <si>
    <t>En esta estapa de prefactibilidad, analiza alternativas de proyecto en el cauce del río Longaví, en particular en el sector denominado Longaví-CEDEC, y evalua los beneficios agrícolas que se generarían con su construcción.</t>
  </si>
  <si>
    <t>LEY 20.304 “SOBRE OPERACIÓN DE EMBALSES FRENTE A ALERTAS Y EMERGENCIAS DE CRECIDAS Y OTRAS MEDIDAS QUE INDICA. DEFINICIÓN DE EMBALSE DE COLBÚN COMO EMBALSE DE CONTROL</t>
  </si>
  <si>
    <t>Minuta DCPRH Nº 267  en la que de define lo que se entiende por caudal ecológico, se establecen las atribuciones para su determinación, desde el punto de vista sectorial y ambiental y se describen las metodologías para su determinación el el marco del SEIA</t>
  </si>
  <si>
    <t>En este trabajo se sistematiza la información existente sobre los recursos hídricos, y complementa el diagnóstico de la cuenca del Maule contenido en los estudios existentes, en relación con temas hídricos, ambientales, económicos, de infraestructura, institucionales y legales.</t>
  </si>
  <si>
    <t xml:space="preserve">Este documento complementa los trabajos iniciados en la DGA en cuanto a elaboración de información necesaria para representar la cuenca del Río Maule, a efectos de de su modelación con el programa MAGIC. Aquellos trabajos permitieron definir preliminannente la topología de cauces y se delimitar las cuencas de cabecera e intermedias. La topología definida incluía, además de los cauces, la ubicación de los embalses, bocatomas de canales y aducciones correspondientes a la generación de  energía hidroeléctrica. En el presente Estudio se detallan  las matrices de datos de entrada que permiten representar los sistemas de  riego. La definición de los sistemas de riego requirió hacer una revisión y una adecuación de la malla de nodos. </t>
  </si>
  <si>
    <t>El principal objetivo del Estudio es disponer de información actualizada de la situación actual y futura de las demandas de los recursos hídricos, para diferentes usos, a nivel regional, de cuencas y subcuencas. En particular, contempla la estimación de las demandas futuras para horizontes de 10 y 25 años, identificando zonas críticas, ya sea por escasez del recurso o por uso intensivo del mismo y, finalmente, plantea las recomendaciones que permitan oportunamente reducir o eliminar los efectos que podrían
imponer al desarrollo económico y social las restricciones sobre la disponibilidad del recurso en el área de influencia de este trabajo.</t>
  </si>
  <si>
    <t>El objetivo principal de este estudio fue cuantificar los caudales en las zonas de recuperación como fuentes de recursos hídricos para el subsector riego, para las cuencas, tanto controladas como no controladas, de Maule, Mataquito y Rapel, usando SIG MAGIC (CNR - DGA - 2006).</t>
  </si>
  <si>
    <t>El estudio tiene como objetivo conocer el balance hídrico general, que permita a la DGA avanzar en el otorgamiento de derechos de aprovechamiento de aguas subterráneas. Adicionalmente, se propone un sistema de monitoreo de niveles de agua subterránea, conducente a evaluar la sustentabilidad de los acuíferos a futuro, ya que sólo se controlan 3 pozos en toda la cuenca y corresponde a puntos de control de la calidad del agua.
Los trabajos incluyen: 
• Recopilación y Análisis de Antecedentes.
• Caracterización Hidrogeológica, la cual se compone de trabajos de terreno, caracterización geológica y geomorfológica, caracterización de los acuíferos, definición de parámetros elásticos.
• Desarrollo del modelo conceptual para la cuenca.
• Proposición de una red básica de monitoreo</t>
  </si>
  <si>
    <t>El Plan define los  objetivos y metas para la Región del Maule al año 2021, construidas a partir de un análisis del territorio, de la infraestructura en los ámbitos urbano y rural, y de la disponibilidad de los recursos hídricos en la región; de esta manera se definen brechas que han sido la base para la identificación de la cartera de inversiones proyectada
al 2021.</t>
  </si>
  <si>
    <t>Estudio o Informe Técnico</t>
  </si>
  <si>
    <t>El documento recoge propuestas y varias iniciativas sobre el cuidado de las fuentes del agua, recargas de acuíferos, reutilización del recurso, proyectos de utilización y captación de aguas no aprovechadas, mejoramiento de los sistemas de medición y control de los acuíferos, nuevas tecnologías de telemetría para monitorear pozos y flujos de aguas, mecanización de los sistemas de compuertas de los canales de riego, utilización de estos canales como fuentes de recargas de acuíferos durante los meses de invierno y recuperación de infraestructura no utilizada.</t>
  </si>
  <si>
    <t>Los trabajos inlcuidos en este estudio incluyen:
- Generación de  la geometría basal del acuífero principal (Geofísica)
- Revisión y actualización de catastros de la demanda agrícola, sanitaria e Industrial.
- Definición  y caracterización de unidades acuíferas principales
- Realización de catastro de pozos y niveles.
- Representación y estimación de los flujos de agua subterránea.
- Identificación de las zonas de recarga y descarga.
- Obtención de parámetros hidrogeológicos del acuífero.
- Representación territorial de los resultados del estudio en un SIG.
- Definición de un modelo conceptual del acuífero.
- Implementación de un modelo numérico de flujo preliminar de aguas subterráneas en Visual MODFLOW.</t>
  </si>
  <si>
    <t>Tras presentar a la DGA como el organismo público encargado de la gestión del agua como recurso, indicando sus principales atribuciones y tareas, realiza una breve descripción de las cuencas hidroográficas incluidas en la Región y de las Áreas involucradas en la gestión a nivel regional Finalmente, parece señalar los desafíos más importantes en dicha gestión, aunque en esta Presentación no quedan explicitados.</t>
  </si>
  <si>
    <t>El objetivo general de este trabajo es describir la situación actual de la cuenca Purapel en Nirivilo en cuanto a demanda, oferta y valoración del servicio ecosistémico (SE) provisión de agua. Con el fin de establecer la demanda de agua de la cuenca, se solicitó a la Dirección General de Aguas datos de derechos de agua otorgados. Utilizando el área de la cuenca, se implementó la ecuación propuesta por Little et al. (2009) para obtener la oferta. Finalmente, entrevistas a la población y cuestionarios a actores claves fueron aplicados para establecer la valoración social del SE “provisión de agua”. Para comparar y discutir resultados se utilizaron dos subcuencas de estudio: Agua Fría y Nirivilo. Estas mostraron un balance negativo en cuanto a oferta/demanda de agua, mientras la cuenca de Purapel mostró uno positivo. La población en general le entrega una alta valoración al SE “provisión de agua”, mostrando interés en conservar el recurso.</t>
  </si>
  <si>
    <t>Información relevante para el balance hídrico en la cuenca del río Maule y análisis hidrogeológico de la misma.
Entrega información clave de valoración de servicios ecosistémicos para generar futuros planes de conservación de los mismos.</t>
  </si>
  <si>
    <t>El estudio tiene por objetivo evaluar los recursos hídricos subterráneos de los sectores hidrogeológicos de aprovechamiento común definidos como Maule Medio Norte y Medio Maule Sur, conservando los valores de recarga utilizados en el estudio SDT Nº 139  de 2011. Se estima la disponibilidad de volumen total anual factible de otorgar como derechos de aprovechamiento de agua subterránea.</t>
  </si>
  <si>
    <t>Recoge el potencial hidroeléctrico y los elementos y actividades valiosas para las comunidades en sus territorios, generando una base de información relevante para sostener un diálogo más transparente sobre hidroelectricidad en las principales cuencas del país. Este estudio identificad 39 Objetos de Valoración de índole ecosistémica, social, cultural y productiva que pueden verse afectados por la implementación de un proyecto hidroeléctrico, y señala aquellas cuencas donde estos Objetos conviven con un potencial hidroeléctrico aún no desarrollado.</t>
  </si>
  <si>
    <t>Esta fase de ejecución del Programa tiene por objetivo el asegurar un aprovechamiento óptimo, equitativo y sustentable de los recursos hídricos en la zona de influencia del proyecto de mejoramiento del embalse Tutuvén, para lo cual se debían crear las condiciones necesarias para una adecuada administración del agua de riego y un mejor
manejo del recurso del embalse, a través, del fortalecimiento de la organización de regantes en ámbitos operacionales, organizacionales, legales y de infraestructura. Y preparar a los agricultores para que mejoren su capacidad de aprovechamiento del agua disponible a nivel predial, fomentando la incorporación de un riego más eficiente y la adopción de producciones agropecuarias más competitivas, a través, de transferencia de conocimiento y habilidades, como también de implementación de proyectos concretos.</t>
  </si>
  <si>
    <t xml:space="preserve"> </t>
  </si>
  <si>
    <t>EH005</t>
  </si>
  <si>
    <t>EH006</t>
  </si>
  <si>
    <t>MA105</t>
  </si>
  <si>
    <t>RH015</t>
  </si>
  <si>
    <t>DETERMINACIÓN DE CAUDALES ECOLÓGICOS EN CUENCAS CON FAUNA ÍCTICA NATIVA Y EN ESTADO DE CONSERVACIÓN</t>
  </si>
  <si>
    <t>CENTRO DE ECOLOGIA APLICADA LTDA.</t>
  </si>
  <si>
    <t>Este dodcumento propone un modelo para determinar el caudal ecológico de un río incorporando un enfoque multiescalado y jerárquico. Se considera cuatro escalas de análisis: i) Hidroecoregiones, definida por condiciones climáticas e hidrológicas específicas; ii) Sistema, definido por el río en toda su extensión; iii) Tramo de río, definido por la presencia de Áreas con Importancia Ambiental (AIA) y iv) Sección, definido por áreas donde se realiza el control local de los requerimientos de caudal por cada AIA.</t>
  </si>
  <si>
    <t>SIT 187</t>
  </si>
  <si>
    <t>Visión Conceptual de la Adaptación al Cambio Climático. Taller UICN, Proyecto EPIC 2013</t>
  </si>
  <si>
    <t>Sebastián Bonelli I.</t>
  </si>
  <si>
    <t>CENTRO UC. CAMBIO GLOBAL</t>
  </si>
  <si>
    <t>Esta presentación entrega antecedentes sobre tres líneas tematicas: Cambio climático y adaptación: visión conceptual; Iniciativa de adaptación. Proyecto MAPA: Maipo Plan de Adaptación; Cambio climático, lecciones de estudio en Cuenca río Mataquito.</t>
  </si>
  <si>
    <t>Experiencia en el Establecimiento de Caudales Ambientales en Chile</t>
  </si>
  <si>
    <t>Francisco Javier Riestra Miranda</t>
  </si>
  <si>
    <t>Diplomado Gestión del Agua y el Ambiente, Facultad de Ciencias Agronómicas de la Universidad de Chile.</t>
  </si>
  <si>
    <t>El exponente entrega primeramente una revisióin sobre el concepto de caudal ecologíco. Continua con una reseña histórica del tema en Chile, realizando además un analisis de la normativa actual vigente. Continua con  los aspectos relevantes en área de ciencia e investigación en Ecohidrología en Chile, terminando con la presentación de metodología Guía Caudales Ambientales para Determinar Caudales Ambientales para Centrales Hidroeléctricas en el Sistema de Evaluación de Impacto Ambiental.</t>
  </si>
  <si>
    <t>CONFLICTOS POR EL AGUA EN CHILE. ENTRE LOS DERECHOS HUMANOS Y LAS REGLAS DE MERCADO</t>
  </si>
  <si>
    <t>Sara Larraín y Pamela Poo - Chile Sustentable</t>
  </si>
  <si>
    <t>Chile Sustentable</t>
  </si>
  <si>
    <t>El documento hace revisión sobre casos en los cuales proyectos han generado presión desmedida sobre los recursos naturales y con ello oposición de las organizaciones sociales locales. Para el caso del Plan Maestro destaca la revisión del proyecto de generacion hidroelectrica, denominado Centinela, el cual estará instalado en el Sitio Prioritario Alto de Achibueno.</t>
  </si>
  <si>
    <t>Anfibios de Chile,
un desafío para la conservación</t>
  </si>
  <si>
    <t>LOBOS G, VIDAL M, CORREA C, LABRA A, DÍAZ - PÁEZ H, CHARRIER A, RABANAL F, DÍAZ S &amp;
TALA C.</t>
  </si>
  <si>
    <t>El libro permite adentrarse en el conocimiento de los anfibios priorizando que el lector pueda participar activamente en la conservación y protección de estas especies de Chile. A lo largo del todo el texto destaca que los anfibios son un grupo endémico altamente amenazado en el país. Entrega información sobre la biología, diversidad, valor ambiental y cultural de los anfibios, estado de conservación y amenazas, conocimiento generado en los últimos 15 años, acciones de conservación que se están desarrollando en nuestro país, así como una muestra de imágenes y texto relativo a algunas de las especies presentes en Chile.</t>
  </si>
  <si>
    <t>ISBN 978-956-7204-46-5</t>
  </si>
  <si>
    <t>Plan de Recuperación, Conservación y Gestión de los Anfibios de Chile</t>
  </si>
  <si>
    <t>Ministerio del Medio Ambiente</t>
  </si>
  <si>
    <t>Plan de Recuperación Conservación y Gestión del Ruil</t>
  </si>
  <si>
    <t>Este documento tiene relación con el comienzo del Plan de Recuperación, Conservación y Gestión del Ruil. Así, se especifica que el Ministerio del Medio Ambiente (MMA) informa que mediante la Resolución Exenta N° 0107 del 12 de febrero de 2016 ha dado inicio al proceso de elaboración del Plan de Recuperación, Conservación y Gestión de Ruil, árbol declarado En Peligro</t>
  </si>
  <si>
    <t>APLICACIÓN DE LOS CRITERIOS DE LA UNIÓN INTERNACIONAL PARA LA CONSERVACIÓN DE LA NATURALEZA (IUCN) PARA LA EVALUACIÓ DE RIESGO DE LOS ECOSISTEMAS TERRESTRES DE CHILE</t>
  </si>
  <si>
    <t>Patricio Pliscoff Varas</t>
  </si>
  <si>
    <t>El texto utiliza clasificación que el autor ya realizó para los recursos naturales del país, para las cuales  se evalua el riesgo de ecosistemas de acuerdo a la metodología propuesta por la UICN.</t>
  </si>
  <si>
    <t>Atlas de Faenas Mineras</t>
  </si>
  <si>
    <t>Servicio Nacional de Geología y Minería</t>
  </si>
  <si>
    <t>Mapas y estadísticas de Faenas Mineras, para las regiones del Maule, Biobío, Araucanía, Los Ríos, Los Lagos, Aysén y Magallanes.</t>
  </si>
  <si>
    <t>Listado de faenas mineras por tipo, para la región del Maule</t>
  </si>
  <si>
    <t>Catastro de depósitos de relave según estado operacional, a nivel nacional</t>
  </si>
  <si>
    <t>listado de depósitos de relave para la región del Maule (2), y su estado operacional</t>
  </si>
  <si>
    <t>Evaluación preliminar de contingencia en Tranque de Relaves Las Palmas, Sector Pencahue, Región del Maule</t>
  </si>
  <si>
    <t>DICTUC (Pontificia Universidad Católica)</t>
  </si>
  <si>
    <t>Ministerio de Obras Públicas. Dirección General de Aguas</t>
  </si>
  <si>
    <t>Comuna Pencahue</t>
  </si>
  <si>
    <t>Estudio técnico de los efectos del colapso del tranque de relave Las Palmas, posterior al terremoto de febrero de 2010.</t>
  </si>
  <si>
    <t>Antecedentes de contaminación de suelo y aguas en la zona del tranque Las Palmas.</t>
  </si>
  <si>
    <t>Catastro de Rellenos Sanitarios, Estaciones de Transferencia y Vertederos</t>
  </si>
  <si>
    <t>Directorio y Observatorio de Residuos de Chile</t>
  </si>
  <si>
    <t xml:space="preserve">Directorio y Observatorio de Residuos de Chile </t>
  </si>
  <si>
    <t>Directorio de empresas responsables de adminsitración de rellenos sanitarios, estaciones de transferencia y vertederos en la región del Maule. Revisado en www.directorioresiduos.cl</t>
  </si>
  <si>
    <t>se obtuvo listado de empresas que operan en la región</t>
  </si>
  <si>
    <t>Catastro de Descargas de RILES, Región del Maule</t>
  </si>
  <si>
    <t>Superintendencia de Servicios Sanitarios</t>
  </si>
  <si>
    <t>Listado de descargas autorizadas por la SISS, bajo decretos DS 46/2002 y DS 90/2000.</t>
  </si>
  <si>
    <t>Se incluye listado de descargas autorizadas, código CIIU de emisores, lo que permite clasificar los tipos de descarga efectivas.</t>
  </si>
  <si>
    <t>si</t>
  </si>
  <si>
    <t>PLAN DE ACCIÓN REGIÓN DEL MAULE; SECTOR TURISMO 2014-2018</t>
  </si>
  <si>
    <t>Servicio Nacional de Turismo Chile</t>
  </si>
  <si>
    <t xml:space="preserve">El documento se basa en el eje estructural en torno a los lineamientos planteados en el programa de Gobierno, que proponen el desafío de potencial de desarrollo turísticos  sustentable de las Áreas Silvestres Protegidas como las Siete Tazas; avanzar en establecimiento de Zonas de Interes Turistico.
El Documento se rige en siete puntos que son antecedentes, diagnostico, demanda actual, definición de estrategia de acción regional y componentes del Plan
</t>
  </si>
  <si>
    <t>Información relevante en el análisis Turístico de la región vinculado a los recursos hídricos como Lagos o áreas protegidas</t>
  </si>
  <si>
    <t>PROGRAMA DE INFRAESTRUCTURA RURAL PARA EL DESARROLLO TERRITORIAL, Cuenca Mataquito</t>
  </si>
  <si>
    <t>Subsecretaría de Desarrollo Regional y Administrativo</t>
  </si>
  <si>
    <t>Se realiza una descripción del territorio en los ámbitos de recursos naturales infraestructura, recursos humanos, instituciones presentes, actividades económicas y las empresas.  Se integra una cartera de inversiones por subterritorio a nivel de perfil. Y se establece el Plan de gestión PMDT con el fortalecimiento de actores locales de las mesas, institucionalidad de las mesas, proceso de fortalecimiento de lo agentes públicos y ejecución de la cartera integrada.</t>
  </si>
  <si>
    <t>Información relevante para el diagnóstico territorial vinculado a los recursos hídricos ya sean como iniciativas o ejes estratégicos</t>
  </si>
  <si>
    <t>Plan Marco de Desarrollo Territorial Área Poniente de Talca</t>
  </si>
  <si>
    <t xml:space="preserve">Resultados obtenidos durante el proceso de desarrollo de la consultoría, esto es, la Visión estratégica del desarrollo de los subterritorios vinculadas al desarrollo de sus principales actividades económicas (ejes productivos) validados por la comunidad, que podrán ser fortalecidas por inversiones en infraestructura rural, también consensuadas y validadas por los actores relevantes (públicos y privados), que fueron definidos y analizados por la consultora y validados a través de talleres con la comunidades en estudio. En este sentido, se presenta una cartera Integrada de proyectos en Infraestructura rural con o sin financiamiento PIRDT y de fomento productivo, cuya ejecución sin duda potenciará y desarrollará económica, productiva y socialmente a los habitantes del territorio en estudio, que son:
- Comuna de Pencahue,  Curepto y Empedrado
Entre los objetivos estratégicos se encuentran el fortalecimiento de actividad Hortícola, Turístico Rural , promoción de los viñedos, olivos, actividad apícola, ganadero, industria maderera, activación de la valorización de hogos silvestres, entre otros.
Informe relevante para el diagnóstico territorial vinculado a los recursos hídricos determinando las iniciativas en el territorio relevantes para la formulación del Plan.
</t>
  </si>
  <si>
    <t>PLAN MARCO DE DESARROLLO TERRITORIAL ;MAULE SUR</t>
  </si>
  <si>
    <t>NS/ND</t>
  </si>
  <si>
    <t>El territorio denominado Maule Sur, está compuesto por las comunas de Cauquenes, Chanco y Pelluhue, correspondiendo administrativamente a la provincia de Cauquenes. . A su vez este coincide con la asignación de territorio por parte de GTI – GORE Maule y a la zona identificada para la implementación del Programa de Infraestructura Rural para el Desarrollo Territorial, PIRDT – SUBDERE. El objetivo es reforzar atrevés de inversión pública y mejorar la situación actual tanto como crecimiento y desarrollo del territorio. Se incluye la cartera integrada de Proyectos según los ejes estratégicos.</t>
  </si>
  <si>
    <t>PLAN MARCO DE DESARROLLO TERRITORIAL PMDT, EMBALSE DE ANCOA</t>
  </si>
  <si>
    <t xml:space="preserve">Identifica las necesidades de infraestructura, sustentadas en la posibilidad de contribuir a desarrollar potenciales productivos con una visión estratégica de los Subterritoiros y descripción de la cartera integrada de proyectos según beneficios y análisis de ejecución y estrategia. </t>
  </si>
  <si>
    <t>PLANES REGUALDORES COMUNALES</t>
  </si>
  <si>
    <t>Municipalidad</t>
  </si>
  <si>
    <t>Información relevante para el diagnóstico de calidad de aguas en la Cuenca del Mataquito tales como información fluviométricas, descargas a cursos de Agua y datos de monitoreo.</t>
  </si>
  <si>
    <t xml:space="preserve">información relevante para el diagnóstico de calidad de aguas como herramienta de información geográfica( ejes de los cuaces), segmentación según informe; factores que inciden en  la calidad del agua; y otros. </t>
  </si>
  <si>
    <t>También contiene información relevante para el diagnóstico de demanda del recursos como los uso de agua por cuenca.</t>
  </si>
  <si>
    <t>Volumen 6 : Cuenca de Mataquito, Cuenca del Maule.</t>
  </si>
  <si>
    <t>Información relevante para el diagnosticó de oferta y demanda hídrica además de diagnóstico ambiental para considerar el cambio climático dentro de estos apartados</t>
  </si>
  <si>
    <t>Información relevante para el diagnóstico de los derechos de uso como el diagnostico a la organizaciones de usuarios del agua y la capacitación  y organización directa. Y también contiene información relevante a al análisis territorial con la capacitación a dirigentes agrícolas en desarrollo Territorial como el cuadro 7 y 8, proyectos de la Ley 18.450.</t>
  </si>
  <si>
    <t>Información relevante para diferentes partes del diagnóstico técnico. Contiene información relevante para el análisis territorial vinculado al medio ambiente fomentando la planificación como instrumento. Integración territorial a largo plazo respetando dicha planificación con los cambios de gobierno e incorporar la gestión integrada de cuencas.</t>
  </si>
  <si>
    <t>Información relevante para el diagnóstico en la zonificación de las zonas de estudio y relevante a un análisis territorial vinculado a las cuencas. Contiene información conceptual y metodología de análisis según componente de cuenca hidrográfica.</t>
  </si>
  <si>
    <t>Información relevante para el diagnóstico territorial vinculado al recurso hídrico con conclusiones referidas a los APR, infraestructura hidráulica y mejoramiento y aplicación de zona de riego, como la tecnificación.</t>
  </si>
  <si>
    <t>Información relevante para el diagnóstico de los derechos de agua según su venta; y contiene información de interés para el diagnóstico de red hidrométrica como el análisis detener información hidrometerológico a tiempo real.</t>
  </si>
  <si>
    <t>Información relevante para el diagnóstico de eventos extremos como los caudales medios diarios máximos, Periodo Pluvial, en el periodo de tiempo de 1964-1991; caudales instantáneos máximos</t>
  </si>
  <si>
    <t xml:space="preserve"> Información relevante en el diagnóstico de eventos extremos con los criterios de evaluación de sequias.</t>
  </si>
  <si>
    <t>Información relevante en el diagnóstico de eventos extremos como base a la mitigación a nivel comunal</t>
  </si>
  <si>
    <t xml:space="preserve"> Información relevante en el diagnóstico de eventos extremos para el concocimiento de plan de accion antes Tsunamis.</t>
  </si>
  <si>
    <t xml:space="preserve"> Información relevante en el diagnóstico de infrastructura hidraulica en base al catastro de canales y bocatomas.</t>
  </si>
  <si>
    <t>Información relevante en el diagnóstico de infrastructura hidraulica en base al catastro de canales y bocatomas.</t>
  </si>
  <si>
    <t>Información relevante en el diagnóstico de infrastructura hidraulica en base al catastro.</t>
  </si>
  <si>
    <t>Información relevante en el diagnóstico de infrastructura hidraulica en base al catastro  y detalle de embases.</t>
  </si>
  <si>
    <t>Información relevante en el diagnóstico de infrastructura hidraulica en base al catastro y de embalse, en este caso Tabuco.</t>
  </si>
  <si>
    <t>Información relevante en el diagnóstico de infrastructura hidraulica refente a las obras de evacuacion y drenaje aguas lluvias en Talca.</t>
  </si>
  <si>
    <t xml:space="preserve"> Información relevante en el diagnóstico de infrastructura hidraulica en base al catastro y conocimeinto del embalse cipres.</t>
  </si>
  <si>
    <t>Información relevante en el diagnóstico de infrastructura hidraulica refente a las obras de evacuacion y drenaje aguas lluvias en Linares.</t>
  </si>
  <si>
    <t>Información relevante en el diagnóstico de infrastructura hidraulica refente a las obras de evacuacion y drenaje aguas lluvias en Curicó.</t>
  </si>
  <si>
    <t>Información relevante en el diagnóstico de infrastructura hidraulica en base al catastro de canales y bocatomas; y otros aspectos de sistema de riego en la Región.</t>
  </si>
  <si>
    <t>Información relevante en el diagnóstico de infrastructura hidraulica refente a las obras del embalse.</t>
  </si>
  <si>
    <t>Información relevante en el diagnóstico de infrastructura hidraulica refente al SIG de Plan Maestro de aguas Lluvias de Talca.</t>
  </si>
  <si>
    <t>Información relevante en el diagnóstico de infrastructura hidraulica en base al catastro de iniciativas integradas en el documento vinculdas y de interes en la gestion de recursos hidricos.</t>
  </si>
  <si>
    <t xml:space="preserve"> Información relevante en el diagnóstico de infrastructura hidraulica refente a las obras de embalses y datos incluyentes en el catastro.</t>
  </si>
  <si>
    <t xml:space="preserve"> Información relevante en el diagnóstico de infrastructura hidraulica refente a las obras de evacuacion y drenaje aguas lluvias en Constitución.</t>
  </si>
  <si>
    <t xml:space="preserve"> Información poco relevante.</t>
  </si>
  <si>
    <t xml:space="preserve"> Información relevante en el diagnóstico del catastro y derechos de usos; informacion existente de juntas de vigilacia.</t>
  </si>
  <si>
    <t>Información relevante en el diagnóstico de infrastructura hidraulica refente a catastro de obras.</t>
  </si>
  <si>
    <t>Información relevante en el diagnóstico de infrastructura hidraulica refente a las obrascentrasles hidroelectricas.</t>
  </si>
  <si>
    <t>Información relevante en el diagnóstico de infrastructura hidraulica refente al catastro.</t>
  </si>
  <si>
    <t>Poco relevante</t>
  </si>
  <si>
    <t>Información relevante en el diagnóstico de infrastructura hidraulica refente al cococimiento del embalse Longaví.</t>
  </si>
  <si>
    <t>Información relevante en el diagnóstico de infrastructura hidraulica refente al cococimiento del embalse Huadque sobre actores y organizaciones de usuarios.</t>
  </si>
  <si>
    <t>Información relevante en el diagnóstico de infrastructura hidraulica refente al drenaje de las cuenca de Constitución.</t>
  </si>
  <si>
    <t xml:space="preserve">Información relevante en el diagnóstico de infrastructura hidraulica </t>
  </si>
  <si>
    <t>Información relevante en el diagnóstico de infrastructura hidraulica como catastro</t>
  </si>
  <si>
    <t xml:space="preserve"> -</t>
  </si>
  <si>
    <t xml:space="preserve"> Información relevante en el diagnóstico Ambiental</t>
  </si>
  <si>
    <t>Información relevante en el diagnóstico ambiental</t>
  </si>
  <si>
    <t>Información relevante en el diagnóstico ambiental, Caudal ecologico.</t>
  </si>
  <si>
    <t xml:space="preserve"> Información relevante en el diagnóstico Ambiental con las hidroelectricas.</t>
  </si>
  <si>
    <t xml:space="preserve"> Información relevante en el diagnóstico Ambiental sobre la contaminción.</t>
  </si>
  <si>
    <t>Información relevante en el diagnóstico ambiental conocimiento de los anfibios en la región.</t>
  </si>
  <si>
    <t xml:space="preserve"> Información relevante en el diagnóstico Ambiental catalogo de flora y fauna.</t>
  </si>
  <si>
    <t xml:space="preserve"> Información relevante en el diagnóstico Ambiental catalogo de especies silvestres.</t>
  </si>
  <si>
    <t xml:space="preserve"> Información relevante en el diagnóstico Ambiental sobre los caudales ambientales.</t>
  </si>
  <si>
    <t xml:space="preserve"> Información relevante en el diagnóstico Ambiental, estadistica ambiental.</t>
  </si>
  <si>
    <t xml:space="preserve">  Información relevante en el diagnóstico de oferta y demanda relativo a los acuiferos.</t>
  </si>
  <si>
    <t xml:space="preserve">  Información relevante en el diagnóstico oferta y demanda hidrica ademas de catastro de bocatomas y canales.</t>
  </si>
  <si>
    <t xml:space="preserve">  Información relevante en el diagnóstico oferta y demanda hidrica; utilizacion de MAGIC.</t>
  </si>
  <si>
    <t xml:space="preserve"> Información relevante en el diagnóstico oferta y demanda hidrica .</t>
  </si>
  <si>
    <t xml:space="preserve"> Información relevante en el diagnóstico oferta y demanda hidrica respecto a las hidroelecticas.</t>
  </si>
  <si>
    <t xml:space="preserve"> Información relevante en el diagnóstico oferta y demanda silvoagropecuaria respecto a las actividades antropicas.</t>
  </si>
  <si>
    <t xml:space="preserve">  Información relevante en el diagnóstico de la contaminacion par el apartado de medio ambiente</t>
  </si>
  <si>
    <t xml:space="preserve">  Información relevante en el diagnóstico de la contaminacion par el apartado de medio ambiente y demanda hidrica.</t>
  </si>
  <si>
    <t xml:space="preserve">  Información relevante en el diagnóstico de la contaminacion par el apartado de medio ambiente en los problemas ambientales.</t>
  </si>
  <si>
    <t xml:space="preserve">  Información relevante en el diagnóstico de la contaminacion par el apartado de medio ambiente, conservación de los ecosistemas.</t>
  </si>
  <si>
    <t>De conformidad a las clasificaciones de especies silvestres y su categoría de conservación, el Ministerio del Medio Ambiente deberá aprobar planes de recuperación, conservación y gestión para estas especies. El reglamento definirá el procedimiento de elaboración, el sistema de información pública y el contenido de cada uno de ellos.  Por su parte, el Plan se define como instrumento administrativo que contiene el conjunto de metas, objetivos y acciones que deberán ejecutarse para recuperar, conservar y manejar una o más especies que hayan sido clasificadas en el marco del Reglamento para la Clasificación de Especies Silvestres según Estado de Conservación. Destaca además que el reglamento es explícito en mencionar que planes podrán elaborarse para cada especie en particular o para un grupo de especies, cuando éstas presenten características similares en términos de su categoría de conservación, biología, amenazas o distribución, de igual modo, los planes podrán elaborarse para su aplicación sobre la totalidad del área de distribución de las especies respectivas, o para una parte de ella, según corresponda. Todo plan que tenga por objeto recursos hidrobiológicos sometidos a medidas de conservación y a los regímenes de administración de la Ley General de Pesca y Acuicultura Nº 18.892 y sus modificaciones, deberá ser compatible con el plan de manejo establecido de conformidad con dicho cuerpo legal</t>
  </si>
  <si>
    <t>CC091</t>
  </si>
  <si>
    <t>DT021</t>
  </si>
  <si>
    <t>DT022</t>
  </si>
  <si>
    <t>DT031</t>
  </si>
  <si>
    <t>DT032</t>
  </si>
  <si>
    <t>DT075</t>
  </si>
  <si>
    <t>DT085</t>
  </si>
  <si>
    <t>MA061</t>
  </si>
  <si>
    <t>MA075</t>
  </si>
  <si>
    <t>MA096</t>
  </si>
  <si>
    <t>MA115</t>
  </si>
  <si>
    <t>MA120</t>
  </si>
  <si>
    <t>MA151</t>
  </si>
  <si>
    <t>MA175</t>
  </si>
  <si>
    <t>MA176</t>
  </si>
  <si>
    <t>MA185</t>
  </si>
  <si>
    <t>MA186</t>
  </si>
  <si>
    <t>MA191</t>
  </si>
  <si>
    <t>MA210</t>
  </si>
  <si>
    <t>C:\Users\oromeram\Desktop\160610EtapaIFinal\Informe01_Anexo02.ReDoc\A02 Fichas</t>
  </si>
  <si>
    <t>Catastro de Depósitos de Relave</t>
  </si>
  <si>
    <t>Sistema Nacional de Información de Fiscalización Ambiental</t>
  </si>
  <si>
    <t>Reglamento de Caudal Ecológico Mínimo</t>
  </si>
  <si>
    <t>El Reglamento de Caudal Ecológico Mínimo fue elaborado en conjunto por el Ministerio de Obras Públicas y del Medio Ambiente, el cual tuvo como objetivo principal asegurar la biodiversidad. Se espera que el Reglamento entregue el marco que permita asegurar la preservación de la naturaleza y proteger el medio ambiente, a través de fijar una serie de criterios para el establecimiento del Caudal Ecológico Mínimo. Este documento menciona que el caudal ecológico no podrá ser superior a un 20% del caudal medio anual de la respectiva fuente superficial y en casos calificados el Presidente de la República, previo informe del Ministerio del Medio Ambiente, podrá fijar caudales diferentes a un 20%, no pudiendo superar un 40%.</t>
  </si>
  <si>
    <t>Reforma Constitucional al Código de Aguas</t>
  </si>
  <si>
    <t>Introducción al Cálculo de Caudales Ecológicos Endesa Chile, Un análisis de las tendencias actuales</t>
  </si>
  <si>
    <t>Ministerio de Obras publicas</t>
  </si>
  <si>
    <t>Ministerio de Obras Publicas</t>
  </si>
  <si>
    <t>El Gobierno ha presentado una reforma al Código de Aguas vigente. Éste se encuentra, actualmente, en discusión en la Comisión de Recursos Hídricos y Desertificación de la Cámara de Diputados de Chile. Entre otros objetivos, lo que se persigue es modificar el concepto de derechos de aprovechamiento de aguas, limitar su uso, darles un carácter temporal a los derechos a particulares, limitar algunos derechos en situaciones especiales, como por ejemplo, temporadas de sequía, establecer causales de caducidad, facilitar la intervención de las cuencas por el Estado y reformar el sistema de pago de patente por no uso</t>
  </si>
  <si>
    <t>analiza las observaciones efectuadas por la Autoridad a las propuestas de caudal ecológico de cuatro proyectos hidroeléctricos de Chile (tres aprobados y uno en proceso). Los resultados indican lo siguiente: a) Las “megacentrales” reciben menos observaciones a sus estimaciones de caudal ecológico (Qeco) que las centrales medianas o pequeñas. Es probable que mientras menos agua disponible tenga el titular, éste trate de optimizarla, estableciendo menos Qeco en virtud de turbinar mayor volumen de agua; b) Existe una relación inversa entre el caudal que el Titular destine a Qeco, con la cantidad de observaciones que emite la Autoridad al respecto, lo que –finalmente- repercute en la duración del proceso de evaluación ambiental; c) El análisis de 160 observaciones efectuadas por la Autoridad a los estudios de Qeco de los cuatro proyectos estudiados, indica que corresponden básicamente a trece tipos. De ellas, siete presentan una frecuencia mayor a 5%, además, requieren tiempo y recursos para ser aclaradas. Otras seis, presentan frecuencia menor a 5% y requieren pocos recursos y tiempo. El porcentaje en el cual se presentan estas observaciones tipo (“difíciles” o “fáciles”), aumenta o disminuye según el modelo empleado por el Titular para definir Qeco; y d) La Autoridad es más afín a la propuesta del titular, cuando los métodos para definir Qeco se basan en las sugerencias de la DGA</t>
  </si>
  <si>
    <t>MA231</t>
  </si>
  <si>
    <t>MA232</t>
  </si>
  <si>
    <t>MA233</t>
  </si>
  <si>
    <t>MA235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</si>
</sst>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A]mmmm\-yy;@"/>
    <numFmt numFmtId="165" formatCode="000"/>
  </numFmts>
  <fonts count="45" x14ac:knownFonts="1">
    <font>
      <sz val="11"/>
      <color theme="1"/>
      <name val="Calibri"/>
      <family val="2"/>
      <scheme val="minor"/>
    </font>
    <font>
      <sz val="11"/>
      <color theme="0"/>
      <name val="Calibri"/>
      <family val="2"/>
      <scheme val="minor"/>
    </font>
    <font>
      <sz val="10"/>
      <color theme="1"/>
      <name val="Calibri"/>
      <family val="2"/>
      <scheme val="minor"/>
    </font>
    <font>
      <sz val="11"/>
      <name val="Calibri"/>
      <family val="2"/>
      <scheme val="minor"/>
    </font>
    <font>
      <b/>
      <sz val="11"/>
      <color theme="0"/>
      <name val="Verdana"/>
      <family val="2"/>
    </font>
    <font>
      <b/>
      <sz val="10"/>
      <color theme="0"/>
      <name val="Verdana"/>
      <family val="2"/>
    </font>
    <font>
      <b/>
      <sz val="10"/>
      <name val="Verdana"/>
      <family val="2"/>
    </font>
    <font>
      <sz val="10"/>
      <name val="Verdana"/>
      <family val="2"/>
    </font>
    <font>
      <b/>
      <sz val="11"/>
      <color theme="1"/>
      <name val="Calibri"/>
      <family val="2"/>
      <scheme val="minor"/>
    </font>
    <font>
      <b/>
      <sz val="11"/>
      <color theme="0"/>
      <name val="Calibri"/>
      <family val="2"/>
      <scheme val="minor"/>
    </font>
    <font>
      <i/>
      <sz val="10"/>
      <color rgb="FF000000"/>
      <name val="Calibri"/>
      <family val="2"/>
      <scheme val="minor"/>
    </font>
    <font>
      <sz val="9"/>
      <color rgb="FF000000"/>
      <name val="Arial"/>
      <family val="2"/>
    </font>
    <font>
      <sz val="10"/>
      <color theme="1"/>
      <name val="Calibri"/>
      <family val="2"/>
      <scheme val="minor"/>
    </font>
    <font>
      <b/>
      <sz val="11"/>
      <color theme="0"/>
      <name val="Calibri"/>
      <family val="2"/>
      <scheme val="minor"/>
    </font>
    <font>
      <sz val="10"/>
      <color rgb="FF000000"/>
      <name val="Calibri"/>
      <family val="2"/>
      <scheme val="minor"/>
    </font>
    <font>
      <i/>
      <sz val="10"/>
      <color rgb="FF000000"/>
      <name val="Calibri"/>
      <family val="2"/>
      <scheme val="minor"/>
    </font>
    <font>
      <sz val="10"/>
      <color rgb="FF000000"/>
      <name val="Calibri"/>
      <family val="2"/>
      <scheme val="minor"/>
    </font>
    <font>
      <sz val="10"/>
      <color theme="1"/>
      <name val="Calibri"/>
      <family val="2"/>
      <scheme val="minor"/>
    </font>
    <font>
      <sz val="10"/>
      <color rgb="FF000000"/>
      <name val="Calibri"/>
      <family val="2"/>
    </font>
    <font>
      <b/>
      <i/>
      <sz val="9"/>
      <name val="Verdana"/>
      <family val="2"/>
    </font>
    <font>
      <i/>
      <sz val="10"/>
      <color rgb="FF000000"/>
      <name val="Calibri"/>
      <family val="2"/>
    </font>
    <font>
      <sz val="9"/>
      <color theme="1"/>
      <name val="Verdana"/>
      <family val="2"/>
    </font>
    <font>
      <sz val="9"/>
      <color indexed="81"/>
      <name val="Tahoma"/>
      <family val="2"/>
    </font>
    <font>
      <b/>
      <sz val="9"/>
      <color indexed="81"/>
      <name val="Tahoma"/>
      <family val="2"/>
    </font>
    <font>
      <b/>
      <sz val="11"/>
      <color theme="1"/>
      <name val="Verdana"/>
      <family val="2"/>
    </font>
    <font>
      <sz val="10"/>
      <color theme="1"/>
      <name val="Verdana"/>
      <family val="2"/>
    </font>
    <font>
      <b/>
      <sz val="10"/>
      <color theme="1"/>
      <name val="Verdana"/>
      <family val="2"/>
    </font>
    <font>
      <b/>
      <sz val="9"/>
      <color theme="1"/>
      <name val="Verdana"/>
      <family val="2"/>
    </font>
    <font>
      <b/>
      <sz val="7"/>
      <color rgb="FF84B819"/>
      <name val="Verdana"/>
      <family val="2"/>
    </font>
    <font>
      <sz val="11"/>
      <color rgb="FFFF0000"/>
      <name val="Calibri"/>
      <family val="2"/>
      <scheme val="minor"/>
    </font>
    <font>
      <b/>
      <sz val="8"/>
      <color rgb="FF1F497D"/>
      <name val="Verdana"/>
      <family val="2"/>
    </font>
    <font>
      <sz val="8"/>
      <color theme="1"/>
      <name val="Verdana"/>
      <family val="2"/>
    </font>
    <font>
      <b/>
      <i/>
      <sz val="11"/>
      <color theme="1"/>
      <name val="Calibri"/>
      <family val="2"/>
    </font>
    <font>
      <sz val="10"/>
      <color theme="1"/>
      <name val="Calibri"/>
      <family val="2"/>
      <scheme val="minor"/>
    </font>
    <font>
      <i/>
      <sz val="10"/>
      <color rgb="FF000000"/>
      <name val="Calibri"/>
      <family val="2"/>
      <scheme val="minor"/>
    </font>
    <font>
      <sz val="10"/>
      <color rgb="FF000000"/>
      <name val="Calibri"/>
      <family val="2"/>
      <scheme val="minor"/>
    </font>
    <font>
      <sz val="10"/>
      <color rgb="FF0070C0"/>
      <name val="Calibri"/>
      <family val="2"/>
      <scheme val="minor"/>
    </font>
    <font>
      <sz val="10"/>
      <name val="Calibri"/>
      <family val="2"/>
      <scheme val="minor"/>
    </font>
    <font>
      <b/>
      <sz val="11"/>
      <color rgb="FF00B050"/>
      <name val="Calibri"/>
      <family val="2"/>
      <scheme val="minor"/>
    </font>
    <font>
      <sz val="11"/>
      <color rgb="FF00B050"/>
      <name val="Calibri"/>
      <family val="2"/>
      <scheme val="minor"/>
    </font>
    <font>
      <sz val="10"/>
      <color rgb="FF00B050"/>
      <name val="Calibri"/>
      <family val="2"/>
      <scheme val="minor"/>
    </font>
    <font>
      <i/>
      <sz val="10"/>
      <color rgb="FF00B050"/>
      <name val="Calibri"/>
      <family val="2"/>
      <scheme val="minor"/>
    </font>
    <font>
      <sz val="10"/>
      <color theme="1"/>
      <name val="Calibri"/>
      <scheme val="minor"/>
    </font>
    <font>
      <i/>
      <sz val="10"/>
      <color rgb="FF000000"/>
      <name val="Calibri"/>
      <scheme val="minor"/>
    </font>
    <font>
      <sz val="10"/>
      <color rgb="FF000000"/>
      <name val="Calibri"/>
      <scheme val="minor"/>
    </font>
  </fonts>
  <fills count="10">
    <fill>
      <patternFill patternType="none"/>
    </fill>
    <fill>
      <patternFill patternType="gray125"/>
    </fill>
    <fill>
      <patternFill patternType="solid">
        <fgColor theme="6" tint="0.39997558519241921"/>
        <bgColor indexed="65"/>
      </patternFill>
    </fill>
    <fill>
      <patternFill patternType="solid">
        <fgColor theme="0" tint="-0.34998626667073579"/>
        <bgColor indexed="64"/>
      </patternFill>
    </fill>
    <fill>
      <patternFill patternType="solid">
        <fgColor theme="0" tint="-0.249977111117893"/>
        <bgColor indexed="64"/>
      </patternFill>
    </fill>
    <fill>
      <patternFill patternType="solid">
        <fgColor theme="6" tint="-0.49998474074526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style="medium">
        <color auto="1"/>
      </bottom>
      <diagonal/>
    </border>
    <border>
      <left/>
      <right/>
      <top style="medium">
        <color rgb="FF000000"/>
      </top>
      <bottom style="medium">
        <color auto="1"/>
      </bottom>
      <diagonal/>
    </border>
    <border>
      <left/>
      <right style="medium">
        <color rgb="FF000000"/>
      </right>
      <top style="medium">
        <color rgb="FF000000"/>
      </top>
      <bottom style="medium">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medium">
        <color auto="1"/>
      </right>
      <top style="medium">
        <color auto="1"/>
      </top>
      <bottom style="thin">
        <color indexed="64"/>
      </bottom>
      <diagonal/>
    </border>
    <border>
      <left style="medium">
        <color auto="1"/>
      </left>
      <right style="medium">
        <color auto="1"/>
      </right>
      <top style="thin">
        <color auto="1"/>
      </top>
      <bottom style="medium">
        <color auto="1"/>
      </bottom>
      <diagonal/>
    </border>
    <border>
      <left style="medium">
        <color auto="1"/>
      </left>
      <right/>
      <top style="thin">
        <color indexed="64"/>
      </top>
      <bottom style="medium">
        <color auto="1"/>
      </bottom>
      <diagonal/>
    </border>
    <border>
      <left/>
      <right/>
      <top style="thin">
        <color auto="1"/>
      </top>
      <bottom style="medium">
        <color auto="1"/>
      </bottom>
      <diagonal/>
    </border>
    <border>
      <left/>
      <right style="medium">
        <color auto="1"/>
      </right>
      <top style="thin">
        <color indexed="64"/>
      </top>
      <bottom style="medium">
        <color auto="1"/>
      </bottom>
      <diagonal/>
    </border>
    <border>
      <left style="medium">
        <color rgb="FF000000"/>
      </left>
      <right/>
      <top style="medium">
        <color auto="1"/>
      </top>
      <bottom style="thin">
        <color indexed="64"/>
      </bottom>
      <diagonal/>
    </border>
    <border>
      <left/>
      <right style="medium">
        <color rgb="FF000000"/>
      </right>
      <top style="medium">
        <color auto="1"/>
      </top>
      <bottom style="thin">
        <color indexed="64"/>
      </bottom>
      <diagonal/>
    </border>
    <border>
      <left style="medium">
        <color rgb="FF000000"/>
      </left>
      <right/>
      <top style="thin">
        <color indexed="64"/>
      </top>
      <bottom style="thin">
        <color indexed="64"/>
      </bottom>
      <diagonal/>
    </border>
    <border>
      <left/>
      <right/>
      <top style="thin">
        <color indexed="64"/>
      </top>
      <bottom style="thin">
        <color indexed="64"/>
      </bottom>
      <diagonal/>
    </border>
    <border>
      <left/>
      <right style="medium">
        <color rgb="FF000000"/>
      </right>
      <top style="thin">
        <color indexed="64"/>
      </top>
      <bottom style="thin">
        <color indexed="64"/>
      </bottom>
      <diagonal/>
    </border>
    <border>
      <left/>
      <right style="thin">
        <color theme="0"/>
      </right>
      <top/>
      <bottom style="thick">
        <color theme="0"/>
      </bottom>
      <diagonal/>
    </border>
  </borders>
  <cellStyleXfs count="2">
    <xf numFmtId="0" fontId="0" fillId="0" borderId="0"/>
    <xf numFmtId="0" fontId="1" fillId="2" borderId="0" applyNumberFormat="0" applyBorder="0" applyAlignment="0" applyProtection="0"/>
  </cellStyleXfs>
  <cellXfs count="118">
    <xf numFmtId="0" fontId="0" fillId="0" borderId="0" xfId="0"/>
    <xf numFmtId="0" fontId="3" fillId="2" borderId="1" xfId="1" applyFont="1" applyBorder="1" applyAlignment="1">
      <alignment horizontal="center" vertical="center" wrapText="1"/>
    </xf>
    <xf numFmtId="0" fontId="0" fillId="0" borderId="1" xfId="0" applyBorder="1"/>
    <xf numFmtId="0" fontId="0" fillId="0" borderId="0" xfId="0" pivotButton="1"/>
    <xf numFmtId="0" fontId="0" fillId="0" borderId="0" xfId="0" applyAlignment="1">
      <alignment horizontal="left"/>
    </xf>
    <xf numFmtId="0" fontId="0" fillId="0" borderId="0" xfId="0" applyNumberFormat="1"/>
    <xf numFmtId="0" fontId="0" fillId="0" borderId="0" xfId="0" applyBorder="1"/>
    <xf numFmtId="0" fontId="2" fillId="0" borderId="0" xfId="0" applyFont="1" applyBorder="1"/>
    <xf numFmtId="0" fontId="2" fillId="0" borderId="0" xfId="0" applyFont="1" applyBorder="1" applyAlignment="1"/>
    <xf numFmtId="0" fontId="0" fillId="0" borderId="0" xfId="0" applyFont="1"/>
    <xf numFmtId="0" fontId="4" fillId="3" borderId="2" xfId="0" applyFont="1" applyFill="1" applyBorder="1" applyAlignment="1">
      <alignment horizontal="centerContinuous" vertical="center" wrapText="1"/>
    </xf>
    <xf numFmtId="0" fontId="5" fillId="3" borderId="3" xfId="0" applyFont="1" applyFill="1" applyBorder="1" applyAlignment="1">
      <alignment horizontal="centerContinuous" vertical="center" wrapText="1"/>
    </xf>
    <xf numFmtId="0" fontId="5" fillId="3" borderId="4" xfId="0" applyFont="1" applyFill="1" applyBorder="1" applyAlignment="1">
      <alignment horizontal="centerContinuous" vertical="center" wrapText="1"/>
    </xf>
    <xf numFmtId="0" fontId="6" fillId="4" borderId="5" xfId="0" applyFont="1" applyFill="1" applyBorder="1" applyAlignment="1">
      <alignment horizontal="center" vertical="center" wrapText="1"/>
    </xf>
    <xf numFmtId="0" fontId="6" fillId="4" borderId="6" xfId="0" applyFont="1" applyFill="1" applyBorder="1" applyAlignment="1">
      <alignment horizontal="centerContinuous" vertical="center" wrapText="1"/>
    </xf>
    <xf numFmtId="0" fontId="6" fillId="4" borderId="7" xfId="0" applyFont="1" applyFill="1" applyBorder="1" applyAlignment="1">
      <alignment horizontal="centerContinuous" vertical="center" wrapText="1"/>
    </xf>
    <xf numFmtId="0" fontId="6" fillId="4" borderId="8" xfId="0" applyFont="1" applyFill="1" applyBorder="1" applyAlignment="1">
      <alignment horizontal="centerContinuous" vertical="center" wrapText="1"/>
    </xf>
    <xf numFmtId="0" fontId="7" fillId="0" borderId="9" xfId="0" applyFont="1" applyBorder="1" applyAlignment="1">
      <alignment horizontal="center" vertical="center" wrapText="1"/>
    </xf>
    <xf numFmtId="0" fontId="7" fillId="0" borderId="0" xfId="0" applyFont="1" applyBorder="1" applyAlignment="1">
      <alignment horizontal="left" vertical="center" wrapText="1"/>
    </xf>
    <xf numFmtId="0" fontId="7" fillId="0" borderId="0" xfId="0" applyFont="1" applyBorder="1" applyAlignment="1">
      <alignment horizontal="center" vertical="center" wrapText="1"/>
    </xf>
    <xf numFmtId="0" fontId="6" fillId="4" borderId="13" xfId="0" applyFont="1" applyFill="1" applyBorder="1" applyAlignment="1">
      <alignment horizontal="centerContinuous" vertical="center" wrapText="1"/>
    </xf>
    <xf numFmtId="0" fontId="6" fillId="4" borderId="14" xfId="0" applyFont="1" applyFill="1" applyBorder="1" applyAlignment="1">
      <alignment horizontal="centerContinuous" vertical="center" wrapText="1"/>
    </xf>
    <xf numFmtId="0" fontId="8" fillId="0" borderId="0" xfId="0" applyFont="1"/>
    <xf numFmtId="0" fontId="2" fillId="0" borderId="0" xfId="0" applyFont="1" applyFill="1" applyBorder="1"/>
    <xf numFmtId="0" fontId="9" fillId="5" borderId="0" xfId="1" applyFont="1" applyFill="1" applyBorder="1" applyAlignment="1">
      <alignment horizontal="center" vertical="center" wrapText="1"/>
    </xf>
    <xf numFmtId="164" fontId="9" fillId="5" borderId="0" xfId="1" applyNumberFormat="1" applyFont="1" applyFill="1" applyBorder="1" applyAlignment="1">
      <alignment horizontal="center" vertical="center" wrapText="1"/>
    </xf>
    <xf numFmtId="0" fontId="13" fillId="5" borderId="0" xfId="1" applyFont="1" applyFill="1" applyBorder="1" applyAlignment="1">
      <alignment horizontal="center" vertical="center" wrapText="1"/>
    </xf>
    <xf numFmtId="0" fontId="0" fillId="0" borderId="0" xfId="0" applyFill="1" applyBorder="1" applyAlignment="1">
      <alignment vertical="top"/>
    </xf>
    <xf numFmtId="165" fontId="0" fillId="0" borderId="0" xfId="0" applyNumberFormat="1" applyFill="1" applyBorder="1" applyAlignment="1">
      <alignment vertical="top"/>
    </xf>
    <xf numFmtId="0" fontId="2" fillId="0" borderId="0" xfId="0" applyFont="1" applyFill="1" applyBorder="1" applyAlignment="1">
      <alignment vertical="top"/>
    </xf>
    <xf numFmtId="0" fontId="10" fillId="0" borderId="0" xfId="0" applyFont="1" applyFill="1" applyBorder="1" applyAlignment="1">
      <alignment vertical="top" wrapText="1"/>
    </xf>
    <xf numFmtId="0" fontId="2" fillId="0" borderId="0" xfId="0" applyNumberFormat="1" applyFont="1" applyFill="1" applyBorder="1" applyAlignment="1">
      <alignment vertical="top"/>
    </xf>
    <xf numFmtId="0" fontId="2" fillId="0" borderId="0" xfId="0" applyFont="1" applyFill="1" applyBorder="1" applyAlignment="1">
      <alignment vertical="top" wrapText="1"/>
    </xf>
    <xf numFmtId="0" fontId="12" fillId="0" borderId="0" xfId="0" applyFont="1" applyFill="1" applyBorder="1" applyAlignment="1">
      <alignment vertical="top"/>
    </xf>
    <xf numFmtId="0" fontId="11" fillId="0" borderId="0" xfId="0" applyFont="1" applyAlignment="1">
      <alignment vertical="top" wrapText="1"/>
    </xf>
    <xf numFmtId="0" fontId="12" fillId="0" borderId="0" xfId="0" applyFont="1" applyFill="1" applyAlignment="1">
      <alignment horizontal="left" vertical="top"/>
    </xf>
    <xf numFmtId="0" fontId="15" fillId="0" borderId="0" xfId="0" applyFont="1" applyFill="1" applyBorder="1" applyAlignment="1">
      <alignment vertical="top" wrapText="1"/>
    </xf>
    <xf numFmtId="0" fontId="16" fillId="0" borderId="0" xfId="0" applyNumberFormat="1" applyFont="1" applyFill="1" applyBorder="1" applyAlignment="1">
      <alignment vertical="top" wrapText="1"/>
    </xf>
    <xf numFmtId="0" fontId="0" fillId="0" borderId="0" xfId="0"/>
    <xf numFmtId="0" fontId="0" fillId="0" borderId="0" xfId="0" applyBorder="1"/>
    <xf numFmtId="0" fontId="0" fillId="0" borderId="0" xfId="0" applyFill="1" applyBorder="1" applyAlignment="1">
      <alignment vertical="top"/>
    </xf>
    <xf numFmtId="165" fontId="0" fillId="0" borderId="0" xfId="0" applyNumberFormat="1" applyFill="1" applyBorder="1" applyAlignment="1">
      <alignment vertical="top"/>
    </xf>
    <xf numFmtId="0" fontId="2" fillId="0" borderId="0" xfId="0" applyFont="1" applyFill="1" applyBorder="1" applyAlignment="1">
      <alignment vertical="top"/>
    </xf>
    <xf numFmtId="0" fontId="10" fillId="0" borderId="0" xfId="0" applyFont="1" applyFill="1" applyBorder="1" applyAlignment="1">
      <alignment vertical="top" wrapText="1"/>
    </xf>
    <xf numFmtId="0" fontId="2" fillId="0" borderId="0" xfId="0" applyNumberFormat="1" applyFont="1" applyFill="1" applyBorder="1" applyAlignment="1">
      <alignment vertical="top"/>
    </xf>
    <xf numFmtId="0" fontId="2" fillId="0" borderId="0" xfId="0" applyFont="1" applyFill="1" applyBorder="1" applyAlignment="1">
      <alignment vertical="top" wrapText="1"/>
    </xf>
    <xf numFmtId="0" fontId="14" fillId="0" borderId="0" xfId="0" applyNumberFormat="1" applyFont="1" applyFill="1" applyBorder="1" applyAlignment="1">
      <alignment vertical="top" wrapText="1"/>
    </xf>
    <xf numFmtId="0" fontId="17" fillId="0" borderId="0" xfId="0" applyFont="1" applyFill="1" applyBorder="1" applyAlignment="1">
      <alignment vertical="top" wrapText="1"/>
    </xf>
    <xf numFmtId="0" fontId="17" fillId="0" borderId="0" xfId="0" applyFont="1" applyFill="1" applyBorder="1" applyAlignment="1">
      <alignment vertical="top"/>
    </xf>
    <xf numFmtId="0" fontId="7" fillId="0" borderId="10" xfId="0" applyFont="1" applyBorder="1" applyAlignment="1">
      <alignment horizontal="centerContinuous" vertical="center" wrapText="1"/>
    </xf>
    <xf numFmtId="0" fontId="7" fillId="0" borderId="11" xfId="0" applyFont="1" applyBorder="1" applyAlignment="1">
      <alignment horizontal="centerContinuous" vertical="center" wrapText="1"/>
    </xf>
    <xf numFmtId="0" fontId="7" fillId="0" borderId="12" xfId="0" applyFont="1" applyBorder="1" applyAlignment="1">
      <alignment horizontal="centerContinuous" vertical="center" wrapText="1"/>
    </xf>
    <xf numFmtId="0" fontId="19" fillId="0" borderId="10" xfId="0" applyFont="1" applyBorder="1" applyAlignment="1">
      <alignment horizontal="centerContinuous" vertical="center" wrapText="1"/>
    </xf>
    <xf numFmtId="0" fontId="2" fillId="0" borderId="0" xfId="0" applyNumberFormat="1" applyFont="1" applyFill="1" applyBorder="1" applyAlignment="1">
      <alignment horizontal="center" vertical="top"/>
    </xf>
    <xf numFmtId="0" fontId="9" fillId="5" borderId="18" xfId="1" applyFont="1" applyFill="1" applyBorder="1" applyAlignment="1">
      <alignment horizontal="center" vertical="center" wrapText="1"/>
    </xf>
    <xf numFmtId="0" fontId="0" fillId="0" borderId="0" xfId="0" applyFont="1" applyAlignment="1">
      <alignment horizontal="centerContinuous" vertical="center" wrapText="1"/>
    </xf>
    <xf numFmtId="0" fontId="24" fillId="0" borderId="0" xfId="0" applyFont="1" applyAlignment="1">
      <alignment horizontal="centerContinuous" vertical="center" wrapText="1"/>
    </xf>
    <xf numFmtId="0" fontId="26" fillId="0" borderId="0" xfId="0" applyFont="1" applyAlignment="1">
      <alignment horizontal="justify" vertical="center"/>
    </xf>
    <xf numFmtId="0" fontId="28" fillId="0" borderId="0" xfId="0" applyFont="1" applyAlignment="1">
      <alignment vertical="top" wrapText="1"/>
    </xf>
    <xf numFmtId="0" fontId="28" fillId="0" borderId="0" xfId="0" applyFont="1" applyAlignment="1">
      <alignment horizontal="right" vertical="center" wrapText="1"/>
    </xf>
    <xf numFmtId="0" fontId="25" fillId="0" borderId="0" xfId="0" applyFont="1" applyAlignment="1">
      <alignment vertical="top" wrapText="1"/>
    </xf>
    <xf numFmtId="0" fontId="30" fillId="0" borderId="0" xfId="0" applyFont="1" applyAlignment="1">
      <alignment vertical="center"/>
    </xf>
    <xf numFmtId="0" fontId="25" fillId="0" borderId="0" xfId="0" applyFont="1"/>
    <xf numFmtId="0" fontId="31" fillId="0" borderId="0" xfId="0" applyFont="1" applyAlignment="1">
      <alignment horizontal="right"/>
    </xf>
    <xf numFmtId="0" fontId="0" fillId="6" borderId="0" xfId="0" applyFill="1"/>
    <xf numFmtId="0" fontId="0" fillId="7" borderId="0" xfId="0" applyFill="1"/>
    <xf numFmtId="0" fontId="0" fillId="8" borderId="0" xfId="0" applyFill="1"/>
    <xf numFmtId="0" fontId="9" fillId="5" borderId="0" xfId="0" applyFont="1" applyFill="1"/>
    <xf numFmtId="0" fontId="1" fillId="5" borderId="0" xfId="0" applyFont="1" applyFill="1"/>
    <xf numFmtId="0" fontId="0" fillId="8" borderId="0" xfId="0" applyFill="1" applyAlignment="1">
      <alignment horizontal="center"/>
    </xf>
    <xf numFmtId="0" fontId="29" fillId="0" borderId="0" xfId="0" applyFont="1"/>
    <xf numFmtId="0" fontId="8" fillId="0" borderId="0" xfId="0" applyFont="1" applyFill="1" applyBorder="1" applyAlignment="1">
      <alignment vertical="top"/>
    </xf>
    <xf numFmtId="0" fontId="33" fillId="0" borderId="0" xfId="0" applyFont="1" applyFill="1" applyBorder="1" applyAlignment="1">
      <alignment vertical="top"/>
    </xf>
    <xf numFmtId="0" fontId="34" fillId="0" borderId="0" xfId="0" applyFont="1" applyFill="1" applyBorder="1" applyAlignment="1">
      <alignment vertical="top" wrapText="1"/>
    </xf>
    <xf numFmtId="0" fontId="35" fillId="0" borderId="0" xfId="0" applyNumberFormat="1" applyFont="1" applyFill="1" applyBorder="1" applyAlignment="1">
      <alignment vertical="top" wrapText="1"/>
    </xf>
    <xf numFmtId="0" fontId="33" fillId="0" borderId="0" xfId="0" applyFont="1" applyFill="1" applyBorder="1" applyAlignment="1">
      <alignment vertical="top" wrapText="1"/>
    </xf>
    <xf numFmtId="0" fontId="33" fillId="0" borderId="0" xfId="0" applyNumberFormat="1" applyFont="1" applyFill="1" applyBorder="1" applyAlignment="1">
      <alignment vertical="top"/>
    </xf>
    <xf numFmtId="0" fontId="36" fillId="0" borderId="0" xfId="0" applyFont="1" applyFill="1" applyBorder="1" applyAlignment="1">
      <alignment vertical="top"/>
    </xf>
    <xf numFmtId="0" fontId="37" fillId="0" borderId="0" xfId="0" applyFont="1" applyFill="1" applyBorder="1" applyAlignment="1">
      <alignment vertical="top"/>
    </xf>
    <xf numFmtId="0" fontId="33" fillId="0" borderId="0" xfId="0" applyFont="1" applyFill="1" applyBorder="1" applyAlignment="1">
      <alignment horizontal="center" vertical="top" wrapText="1"/>
    </xf>
    <xf numFmtId="0" fontId="2" fillId="0" borderId="0" xfId="0" applyFont="1" applyFill="1" applyBorder="1" applyAlignment="1">
      <alignment horizontal="center" vertical="top"/>
    </xf>
    <xf numFmtId="0" fontId="38" fillId="0" borderId="0" xfId="0" applyFont="1" applyFill="1" applyBorder="1" applyAlignment="1">
      <alignment vertical="top"/>
    </xf>
    <xf numFmtId="0" fontId="39" fillId="0" borderId="0" xfId="0" applyFont="1" applyFill="1" applyBorder="1" applyAlignment="1">
      <alignment vertical="top"/>
    </xf>
    <xf numFmtId="165" fontId="39" fillId="0" borderId="0" xfId="0" applyNumberFormat="1" applyFont="1" applyFill="1" applyBorder="1" applyAlignment="1">
      <alignment vertical="top"/>
    </xf>
    <xf numFmtId="0" fontId="40" fillId="0" borderId="0" xfId="0" applyFont="1" applyFill="1" applyBorder="1" applyAlignment="1">
      <alignment vertical="top"/>
    </xf>
    <xf numFmtId="0" fontId="41" fillId="0" borderId="0" xfId="0" applyFont="1" applyFill="1" applyBorder="1" applyAlignment="1">
      <alignment vertical="top" wrapText="1"/>
    </xf>
    <xf numFmtId="0" fontId="40" fillId="0" borderId="0" xfId="0" applyNumberFormat="1" applyFont="1" applyFill="1" applyBorder="1" applyAlignment="1">
      <alignment vertical="top" wrapText="1"/>
    </xf>
    <xf numFmtId="0" fontId="40" fillId="0" borderId="0" xfId="0" applyFont="1" applyFill="1" applyBorder="1" applyAlignment="1">
      <alignment horizontal="left" vertical="top" wrapText="1"/>
    </xf>
    <xf numFmtId="0" fontId="40" fillId="0" borderId="0" xfId="0" applyNumberFormat="1" applyFont="1" applyFill="1" applyBorder="1" applyAlignment="1">
      <alignment vertical="top"/>
    </xf>
    <xf numFmtId="0" fontId="40" fillId="0" borderId="0" xfId="0" applyFont="1" applyFill="1" applyAlignment="1">
      <alignment horizontal="left" vertical="top"/>
    </xf>
    <xf numFmtId="0" fontId="2" fillId="0" borderId="0" xfId="0" applyFont="1" applyFill="1" applyBorder="1" applyAlignment="1">
      <alignment horizontal="left" vertical="top"/>
    </xf>
    <xf numFmtId="0" fontId="2" fillId="0" borderId="0" xfId="0" applyFont="1" applyFill="1" applyAlignment="1">
      <alignment horizontal="left" vertical="top"/>
    </xf>
    <xf numFmtId="0" fontId="40" fillId="0" borderId="0" xfId="0" applyFont="1" applyFill="1" applyBorder="1" applyAlignment="1">
      <alignment vertical="top" wrapText="1"/>
    </xf>
    <xf numFmtId="0" fontId="0" fillId="0" borderId="0" xfId="0" applyFill="1" applyAlignment="1">
      <alignment vertical="top"/>
    </xf>
    <xf numFmtId="0" fontId="39" fillId="0" borderId="0" xfId="0" applyFont="1" applyFill="1" applyAlignment="1">
      <alignment vertical="top"/>
    </xf>
    <xf numFmtId="0" fontId="9" fillId="9" borderId="0" xfId="1" applyFont="1" applyFill="1" applyBorder="1" applyAlignment="1">
      <alignment horizontal="center" vertical="center" wrapText="1"/>
    </xf>
    <xf numFmtId="0" fontId="2" fillId="9" borderId="0" xfId="0" applyFont="1" applyFill="1" applyBorder="1" applyAlignment="1">
      <alignment vertical="top"/>
    </xf>
    <xf numFmtId="0" fontId="2" fillId="9" borderId="0" xfId="0" applyFont="1" applyFill="1" applyBorder="1"/>
    <xf numFmtId="0" fontId="37" fillId="0" borderId="0" xfId="0" applyFont="1" applyFill="1" applyAlignment="1">
      <alignment horizontal="left" vertical="top"/>
    </xf>
    <xf numFmtId="0" fontId="12" fillId="0" borderId="0" xfId="0" applyFont="1" applyFill="1" applyBorder="1" applyAlignment="1">
      <alignment horizontal="center" vertical="top"/>
    </xf>
    <xf numFmtId="0" fontId="42" fillId="0" borderId="0" xfId="0" applyFont="1" applyFill="1" applyBorder="1" applyAlignment="1">
      <alignment vertical="top"/>
    </xf>
    <xf numFmtId="0" fontId="43" fillId="0" borderId="0" xfId="0" applyFont="1" applyFill="1" applyBorder="1" applyAlignment="1">
      <alignment vertical="top" wrapText="1"/>
    </xf>
    <xf numFmtId="0" fontId="44" fillId="0" borderId="0" xfId="0" applyNumberFormat="1" applyFont="1" applyFill="1" applyBorder="1" applyAlignment="1">
      <alignment vertical="top" wrapText="1"/>
    </xf>
    <xf numFmtId="0" fontId="42" fillId="0" borderId="0" xfId="0" applyFont="1" applyFill="1" applyBorder="1" applyAlignment="1">
      <alignment vertical="top" wrapText="1"/>
    </xf>
    <xf numFmtId="0" fontId="42" fillId="0" borderId="0" xfId="0" applyNumberFormat="1" applyFont="1" applyFill="1" applyBorder="1" applyAlignment="1">
      <alignment horizontal="left" vertical="top"/>
    </xf>
    <xf numFmtId="0" fontId="2" fillId="0" borderId="0" xfId="0" applyNumberFormat="1" applyFont="1" applyFill="1" applyBorder="1" applyAlignment="1">
      <alignment horizontal="left" vertical="top"/>
    </xf>
    <xf numFmtId="0" fontId="42" fillId="0" borderId="0" xfId="0" applyNumberFormat="1" applyFont="1" applyFill="1" applyBorder="1" applyAlignment="1">
      <alignment vertical="top"/>
    </xf>
    <xf numFmtId="0" fontId="0" fillId="0" borderId="0" xfId="0" applyAlignment="1">
      <alignment vertical="center"/>
    </xf>
    <xf numFmtId="0" fontId="6" fillId="4" borderId="6"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21" fillId="0" borderId="15" xfId="0" applyNumberFormat="1" applyFont="1" applyBorder="1" applyAlignment="1">
      <alignment horizontal="justify" vertical="center" wrapText="1"/>
    </xf>
    <xf numFmtId="0" fontId="21" fillId="0" borderId="16" xfId="0" applyNumberFormat="1" applyFont="1" applyBorder="1" applyAlignment="1">
      <alignment horizontal="justify" vertical="center" wrapText="1"/>
    </xf>
    <xf numFmtId="0" fontId="21" fillId="0" borderId="17" xfId="0" applyNumberFormat="1" applyFont="1" applyBorder="1" applyAlignment="1">
      <alignment horizontal="justify" vertical="center" wrapText="1"/>
    </xf>
    <xf numFmtId="0" fontId="21" fillId="0" borderId="15" xfId="0" applyNumberFormat="1" applyFont="1" applyBorder="1" applyAlignment="1">
      <alignment horizontal="left" vertical="center" wrapText="1"/>
    </xf>
    <xf numFmtId="0" fontId="21" fillId="0" borderId="16" xfId="0" applyNumberFormat="1" applyFont="1" applyBorder="1" applyAlignment="1">
      <alignment horizontal="left" vertical="center" wrapText="1"/>
    </xf>
    <xf numFmtId="0" fontId="21" fillId="0" borderId="17" xfId="0" applyNumberFormat="1" applyFont="1" applyBorder="1" applyAlignment="1">
      <alignment horizontal="left" vertical="center" wrapText="1"/>
    </xf>
    <xf numFmtId="0" fontId="27" fillId="0" borderId="0" xfId="0" applyFont="1" applyAlignment="1">
      <alignment horizontal="left" vertical="top" wrapText="1"/>
    </xf>
    <xf numFmtId="0" fontId="0" fillId="8" borderId="0" xfId="0" applyFill="1" applyAlignment="1">
      <alignment horizontal="left" vertical="center" wrapText="1"/>
    </xf>
  </cellXfs>
  <cellStyles count="2">
    <cellStyle name="60% - Énfasis3" xfId="1" builtinId="40"/>
    <cellStyle name="Normal" xfId="0" builtinId="0"/>
  </cellStyles>
  <dxfs count="17">
    <dxf>
      <fill>
        <patternFill patternType="none">
          <fgColor indexed="64"/>
          <bgColor auto="1"/>
        </patternFill>
      </fill>
      <alignment vertical="top" textRotation="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vertical="top" textRotation="0" justifyLastLine="0" shrinkToFit="0" readingOrder="0"/>
    </dxf>
    <dxf>
      <font>
        <b val="0"/>
        <i val="0"/>
        <strike val="0"/>
        <condense val="0"/>
        <extend val="0"/>
        <outline val="0"/>
        <shadow val="0"/>
        <u val="none"/>
        <vertAlign val="baseline"/>
        <sz val="10"/>
        <color theme="1"/>
        <name val="Calibri"/>
        <scheme val="minor"/>
      </font>
      <numFmt numFmtId="0" formatCode="General"/>
      <fill>
        <patternFill patternType="none">
          <fgColor indexed="64"/>
          <bgColor rgb="FFFFFF0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vertical="top" textRotation="0" justifyLastLine="0" shrinkToFit="0" readingOrder="0"/>
    </dxf>
    <dxf>
      <fill>
        <patternFill patternType="none">
          <fgColor indexed="64"/>
          <bgColor auto="1"/>
        </patternFill>
      </fill>
      <alignment vertical="top" textRotation="0" justifyLastLine="0" shrinkToFit="0" readingOrder="0"/>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fill>
        <patternFill patternType="none">
          <fgColor indexed="64"/>
          <bgColor auto="1"/>
        </patternFill>
      </fill>
      <alignment vertical="top" textRotation="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rgb="FF000000"/>
        <name val="Calibri"/>
        <scheme val="minor"/>
      </font>
      <numFmt numFmtId="0" formatCode="General"/>
      <fill>
        <patternFill patternType="none">
          <fgColor indexed="64"/>
          <bgColor indexed="65"/>
        </patternFill>
      </fill>
      <alignment horizontal="general" vertical="top" textRotation="0" wrapText="1" indent="0" justifyLastLine="0" shrinkToFit="0" readingOrder="0"/>
    </dxf>
    <dxf>
      <font>
        <b val="0"/>
        <i/>
        <strike val="0"/>
        <condense val="0"/>
        <extend val="0"/>
        <outline val="0"/>
        <shadow val="0"/>
        <u val="none"/>
        <vertAlign val="baseline"/>
        <sz val="10"/>
        <color rgb="FF000000"/>
        <name val="Calibri"/>
        <scheme val="minor"/>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Calibri"/>
        <scheme val="minor"/>
      </font>
      <fill>
        <patternFill patternType="none">
          <fgColor indexed="64"/>
          <bgColor auto="1"/>
        </patternFill>
      </fill>
      <alignment vertical="top" textRotation="0" justifyLastLine="0" shrinkToFit="0" readingOrder="0"/>
    </dxf>
    <dxf>
      <numFmt numFmtId="165" formatCode="000"/>
      <fill>
        <patternFill patternType="none">
          <fgColor indexed="64"/>
          <bgColor auto="1"/>
        </patternFill>
      </fill>
      <alignment vertical="top" textRotation="0" justifyLastLine="0" shrinkToFit="0" readingOrder="0"/>
    </dxf>
    <dxf>
      <fill>
        <patternFill patternType="none">
          <fgColor indexed="64"/>
          <bgColor auto="1"/>
        </patternFill>
      </fill>
      <alignment vertical="top" textRotation="0" justifyLastLine="0" shrinkToFit="0" readingOrder="0"/>
    </dxf>
    <dxf>
      <font>
        <b/>
      </font>
      <fill>
        <patternFill patternType="none">
          <fgColor indexed="64"/>
          <bgColor auto="1"/>
        </patternFill>
      </fill>
      <alignment vertical="top" textRotation="0" justifyLastLine="0" shrinkToFit="0" readingOrder="0"/>
    </dxf>
    <dxf>
      <fill>
        <patternFill patternType="none">
          <fgColor indexed="64"/>
          <bgColor auto="1"/>
        </patternFill>
      </fill>
      <alignment vertical="top" textRotation="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6" tint="-0.499984740745262"/>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_tradnl"/>
  <c:roundedCorners val="0"/>
  <mc:AlternateContent xmlns:mc="http://schemas.openxmlformats.org/markup-compatibility/2006">
    <mc:Choice xmlns:c14="http://schemas.microsoft.com/office/drawing/2007/8/2/chart" Requires="c14">
      <c14:style val="102"/>
    </mc:Choice>
    <mc:Fallback>
      <c:style val="2"/>
    </mc:Fallback>
  </mc:AlternateContent>
  <c:pivotSource>
    <c:name>[A02_Listado_DocRecopilados_v2.xlsm]Graficos!Tabla dinámica3</c:name>
    <c:fmtId val="0"/>
  </c:pivotSource>
  <c:chart>
    <c:title>
      <c:tx>
        <c:rich>
          <a:bodyPr/>
          <a:lstStyle/>
          <a:p>
            <a:pPr>
              <a:defRPr sz="1600"/>
            </a:pPr>
            <a:r>
              <a:rPr lang="en-US" sz="1600"/>
              <a:t>TEMÁTICA</a:t>
            </a:r>
          </a:p>
        </c:rich>
      </c:tx>
      <c:layout>
        <c:manualLayout>
          <c:xMode val="edge"/>
          <c:yMode val="edge"/>
          <c:x val="0.40391141732283464"/>
          <c:y val="3.3536307961504808E-2"/>
        </c:manualLayout>
      </c:layout>
      <c:overlay val="0"/>
    </c:title>
    <c:autoTitleDeleted val="0"/>
    <c:pivotFmts>
      <c:pivotFmt>
        <c:idx val="0"/>
        <c:marker>
          <c:symbol val="none"/>
        </c:marker>
        <c:dLbl>
          <c:idx val="0"/>
          <c:spPr/>
          <c:txPr>
            <a:bodyPr/>
            <a:lstStyle/>
            <a:p>
              <a:pPr>
                <a:defRPr/>
              </a:pPr>
              <a:endParaRPr lang="es-ES_tradnl"/>
            </a:p>
          </c:txPr>
          <c:showLegendKey val="0"/>
          <c:showVal val="0"/>
          <c:showCatName val="1"/>
          <c:showSerName val="0"/>
          <c:showPercent val="1"/>
          <c:showBubbleSize val="0"/>
        </c:dLbl>
      </c:pivotFmt>
    </c:pivotFmts>
    <c:view3D>
      <c:rotX val="15"/>
      <c:rotY val="0"/>
      <c:rAngAx val="0"/>
      <c:perspective val="30"/>
    </c:view3D>
    <c:floor>
      <c:thickness val="0"/>
    </c:floor>
    <c:sideWall>
      <c:thickness val="0"/>
    </c:sideWall>
    <c:backWall>
      <c:thickness val="0"/>
    </c:backWall>
    <c:plotArea>
      <c:layout>
        <c:manualLayout>
          <c:layoutTarget val="inner"/>
          <c:xMode val="edge"/>
          <c:yMode val="edge"/>
          <c:x val="8.2216562116426764E-2"/>
          <c:y val="0.24620056550902147"/>
          <c:w val="0.82077944508322787"/>
          <c:h val="0.71685825503696099"/>
        </c:manualLayout>
      </c:layout>
      <c:pie3DChart>
        <c:varyColors val="1"/>
        <c:ser>
          <c:idx val="0"/>
          <c:order val="0"/>
          <c:tx>
            <c:strRef>
              <c:f>Graficos!$B$1</c:f>
              <c:strCache>
                <c:ptCount val="1"/>
                <c:pt idx="0">
                  <c:v>Total</c:v>
                </c:pt>
              </c:strCache>
            </c:strRef>
          </c:tx>
          <c:dLbls>
            <c:spPr/>
            <c:txPr>
              <a:bodyPr/>
              <a:lstStyle/>
              <a:p>
                <a:pPr>
                  <a:defRPr/>
                </a:pPr>
                <a:endParaRPr lang="es-ES_tradnl"/>
              </a:p>
            </c:txPr>
            <c:showLegendKey val="0"/>
            <c:showVal val="0"/>
            <c:showCatName val="1"/>
            <c:showSerName val="0"/>
            <c:showPercent val="1"/>
            <c:showBubbleSize val="0"/>
            <c:showLeaderLines val="1"/>
          </c:dLbls>
          <c:cat>
            <c:strRef>
              <c:f>Graficos!$A$2:$A$11</c:f>
              <c:strCache>
                <c:ptCount val="9"/>
                <c:pt idx="0">
                  <c:v>Calidad del Agua</c:v>
                </c:pt>
                <c:pt idx="1">
                  <c:v>Cambio Climático</c:v>
                </c:pt>
                <c:pt idx="2">
                  <c:v>Desarrollo Territorial</c:v>
                </c:pt>
                <c:pt idx="3">
                  <c:v>Estaciones Hidrométricas</c:v>
                </c:pt>
                <c:pt idx="4">
                  <c:v>Eventos Extremos</c:v>
                </c:pt>
                <c:pt idx="5">
                  <c:v>Infraestructura Hidráulica</c:v>
                </c:pt>
                <c:pt idx="6">
                  <c:v>Medio Ambiente</c:v>
                </c:pt>
                <c:pt idx="7">
                  <c:v>Recursos Hídricos</c:v>
                </c:pt>
                <c:pt idx="8">
                  <c:v>SilvoAgroPecuario</c:v>
                </c:pt>
              </c:strCache>
            </c:strRef>
          </c:cat>
          <c:val>
            <c:numRef>
              <c:f>Graficos!$B$2:$B$11</c:f>
              <c:numCache>
                <c:formatCode>General</c:formatCode>
                <c:ptCount val="9"/>
                <c:pt idx="0">
                  <c:v>9</c:v>
                </c:pt>
                <c:pt idx="1">
                  <c:v>10</c:v>
                </c:pt>
                <c:pt idx="2">
                  <c:v>18</c:v>
                </c:pt>
                <c:pt idx="3">
                  <c:v>6</c:v>
                </c:pt>
                <c:pt idx="4">
                  <c:v>24</c:v>
                </c:pt>
                <c:pt idx="5">
                  <c:v>35</c:v>
                </c:pt>
                <c:pt idx="6">
                  <c:v>40</c:v>
                </c:pt>
                <c:pt idx="7">
                  <c:v>22</c:v>
                </c:pt>
                <c:pt idx="8">
                  <c:v>9</c:v>
                </c:pt>
              </c:numCache>
            </c:numRef>
          </c:val>
        </c:ser>
        <c:dLbls>
          <c:showLegendKey val="0"/>
          <c:showVal val="0"/>
          <c:showCatName val="1"/>
          <c:showSerName val="0"/>
          <c:showPercent val="1"/>
          <c:showBubbleSize val="0"/>
          <c:showLeaderLines val="1"/>
        </c:dLbls>
      </c:pie3DChart>
    </c:plotArea>
    <c:plotVisOnly val="1"/>
    <c:dispBlanksAs val="gap"/>
    <c:showDLblsOverMax val="0"/>
  </c:chart>
  <c:spPr>
    <a:solidFill>
      <a:schemeClr val="accent3">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_tradnl"/>
  <c:roundedCorners val="0"/>
  <mc:AlternateContent xmlns:mc="http://schemas.openxmlformats.org/markup-compatibility/2006">
    <mc:Choice xmlns:c14="http://schemas.microsoft.com/office/drawing/2007/8/2/chart" Requires="c14">
      <c14:style val="102"/>
    </mc:Choice>
    <mc:Fallback>
      <c:style val="2"/>
    </mc:Fallback>
  </mc:AlternateContent>
  <c:pivotSource>
    <c:name>[A02_Listado_DocRecopilados_v2.xlsm]Graficos!Tabla dinámica6</c:name>
    <c:fmtId val="4"/>
  </c:pivotSource>
  <c:chart>
    <c:title>
      <c:tx>
        <c:rich>
          <a:bodyPr/>
          <a:lstStyle/>
          <a:p>
            <a:pPr>
              <a:defRPr sz="1600"/>
            </a:pPr>
            <a:r>
              <a:rPr lang="en-US" sz="1600"/>
              <a:t>TIPO DE DOCUMENTO</a:t>
            </a:r>
          </a:p>
        </c:rich>
      </c:tx>
      <c:overlay val="0"/>
    </c:title>
    <c:autoTitleDeleted val="0"/>
    <c:pivotFmts>
      <c:pivotFmt>
        <c:idx val="0"/>
        <c:marker>
          <c:symbol val="none"/>
        </c:marker>
        <c:dLbl>
          <c:idx val="0"/>
          <c:spPr/>
          <c:txPr>
            <a:bodyPr/>
            <a:lstStyle/>
            <a:p>
              <a:pPr>
                <a:defRPr/>
              </a:pPr>
              <a:endParaRPr lang="es-ES_tradnl"/>
            </a:p>
          </c:txPr>
          <c:showLegendKey val="0"/>
          <c:showVal val="0"/>
          <c:showCatName val="1"/>
          <c:showSerName val="0"/>
          <c:showPercent val="1"/>
          <c:showBubbleSize val="0"/>
        </c:dLbl>
      </c:pivotFmt>
      <c:pivotFmt>
        <c:idx val="1"/>
        <c:marker>
          <c:symbol val="none"/>
        </c:marker>
        <c:dLbl>
          <c:idx val="0"/>
          <c:spPr/>
          <c:txPr>
            <a:bodyPr/>
            <a:lstStyle/>
            <a:p>
              <a:pPr>
                <a:defRPr/>
              </a:pPr>
              <a:endParaRPr lang="es-ES_tradnl"/>
            </a:p>
          </c:txPr>
          <c:showLegendKey val="0"/>
          <c:showVal val="0"/>
          <c:showCatName val="1"/>
          <c:showSerName val="0"/>
          <c:showPercent val="1"/>
          <c:showBubbleSize val="0"/>
        </c:dLbl>
      </c:pivotFmt>
      <c:pivotFmt>
        <c:idx val="2"/>
        <c:marker>
          <c:symbol val="none"/>
        </c:marker>
        <c:dLbl>
          <c:idx val="0"/>
          <c:spPr/>
          <c:txPr>
            <a:bodyPr/>
            <a:lstStyle/>
            <a:p>
              <a:pPr>
                <a:defRPr/>
              </a:pPr>
              <a:endParaRPr lang="es-ES_tradnl"/>
            </a:p>
          </c:txPr>
          <c:showLegendKey val="0"/>
          <c:showVal val="0"/>
          <c:showCatName val="1"/>
          <c:showSerName val="0"/>
          <c:showPercent val="1"/>
          <c:showBubbleSize val="0"/>
        </c:dLbl>
      </c:pivotFmt>
      <c:pivotFmt>
        <c:idx val="3"/>
        <c:dLbl>
          <c:idx val="0"/>
          <c:layout>
            <c:manualLayout>
              <c:x val="7.2641951006124236E-2"/>
              <c:y val="-2.3134908136482939E-2"/>
            </c:manualLayout>
          </c:layout>
          <c:showLegendKey val="0"/>
          <c:showVal val="0"/>
          <c:showCatName val="1"/>
          <c:showSerName val="0"/>
          <c:showPercent val="1"/>
          <c:showBubbleSize val="0"/>
        </c:dLbl>
      </c:pivotFmt>
    </c:pivotFmts>
    <c:view3D>
      <c:rotX val="15"/>
      <c:rotY val="27"/>
      <c:rAngAx val="0"/>
      <c:perspective val="30"/>
    </c:view3D>
    <c:floor>
      <c:thickness val="0"/>
    </c:floor>
    <c:sideWall>
      <c:thickness val="0"/>
    </c:sideWall>
    <c:backWall>
      <c:thickness val="0"/>
    </c:backWall>
    <c:plotArea>
      <c:layout>
        <c:manualLayout>
          <c:layoutTarget val="inner"/>
          <c:xMode val="edge"/>
          <c:yMode val="edge"/>
          <c:x val="6.0408136482939634E-2"/>
          <c:y val="0.20376062992125984"/>
          <c:w val="0.85973950131233601"/>
          <c:h val="0.74564339457567808"/>
        </c:manualLayout>
      </c:layout>
      <c:pie3DChart>
        <c:varyColors val="1"/>
        <c:ser>
          <c:idx val="0"/>
          <c:order val="0"/>
          <c:tx>
            <c:strRef>
              <c:f>Graficos!$B$31</c:f>
              <c:strCache>
                <c:ptCount val="1"/>
                <c:pt idx="0">
                  <c:v>Total</c:v>
                </c:pt>
              </c:strCache>
            </c:strRef>
          </c:tx>
          <c:explosion val="1"/>
          <c:dLbls>
            <c:dLbl>
              <c:idx val="4"/>
              <c:layout>
                <c:manualLayout>
                  <c:x val="7.2641951006124236E-2"/>
                  <c:y val="-2.3134908136482939E-2"/>
                </c:manualLayout>
              </c:layout>
              <c:showLegendKey val="0"/>
              <c:showVal val="0"/>
              <c:showCatName val="1"/>
              <c:showSerName val="0"/>
              <c:showPercent val="1"/>
              <c:showBubbleSize val="0"/>
            </c:dLbl>
            <c:spPr/>
            <c:txPr>
              <a:bodyPr/>
              <a:lstStyle/>
              <a:p>
                <a:pPr>
                  <a:defRPr/>
                </a:pPr>
                <a:endParaRPr lang="es-ES_tradnl"/>
              </a:p>
            </c:txPr>
            <c:showLegendKey val="0"/>
            <c:showVal val="0"/>
            <c:showCatName val="1"/>
            <c:showSerName val="0"/>
            <c:showPercent val="1"/>
            <c:showBubbleSize val="0"/>
            <c:showLeaderLines val="1"/>
          </c:dLbls>
          <c:cat>
            <c:strRef>
              <c:f>Graficos!$A$32:$A$39</c:f>
              <c:strCache>
                <c:ptCount val="7"/>
                <c:pt idx="0">
                  <c:v>Artículo Técnico</c:v>
                </c:pt>
                <c:pt idx="1">
                  <c:v>Plan, Política, Programa</c:v>
                </c:pt>
                <c:pt idx="2">
                  <c:v>Presentación</c:v>
                </c:pt>
                <c:pt idx="3">
                  <c:v>Tesis</c:v>
                </c:pt>
                <c:pt idx="4">
                  <c:v>Proyecto de Ingeniería</c:v>
                </c:pt>
                <c:pt idx="5">
                  <c:v>Catastro</c:v>
                </c:pt>
                <c:pt idx="6">
                  <c:v>Estudio o Informe Técnico</c:v>
                </c:pt>
              </c:strCache>
            </c:strRef>
          </c:cat>
          <c:val>
            <c:numRef>
              <c:f>Graficos!$B$32:$B$39</c:f>
              <c:numCache>
                <c:formatCode>General</c:formatCode>
                <c:ptCount val="7"/>
                <c:pt idx="0">
                  <c:v>3</c:v>
                </c:pt>
                <c:pt idx="1">
                  <c:v>58</c:v>
                </c:pt>
                <c:pt idx="2">
                  <c:v>5</c:v>
                </c:pt>
                <c:pt idx="3">
                  <c:v>3</c:v>
                </c:pt>
                <c:pt idx="4">
                  <c:v>10</c:v>
                </c:pt>
                <c:pt idx="5">
                  <c:v>22</c:v>
                </c:pt>
                <c:pt idx="6">
                  <c:v>72</c:v>
                </c:pt>
              </c:numCache>
            </c:numRef>
          </c:val>
        </c:ser>
        <c:dLbls>
          <c:showLegendKey val="0"/>
          <c:showVal val="0"/>
          <c:showCatName val="1"/>
          <c:showSerName val="0"/>
          <c:showPercent val="1"/>
          <c:showBubbleSize val="0"/>
          <c:showLeaderLines val="1"/>
        </c:dLbls>
      </c:pie3DChart>
    </c:plotArea>
    <c:plotVisOnly val="1"/>
    <c:dispBlanksAs val="gap"/>
    <c:showDLblsOverMax val="0"/>
  </c:chart>
  <c:spPr>
    <a:solidFill>
      <a:schemeClr val="accent3">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_tradnl"/>
  <c:roundedCorners val="0"/>
  <mc:AlternateContent xmlns:mc="http://schemas.openxmlformats.org/markup-compatibility/2006">
    <mc:Choice xmlns:c14="http://schemas.microsoft.com/office/drawing/2007/8/2/chart" Requires="c14">
      <c14:style val="102"/>
    </mc:Choice>
    <mc:Fallback>
      <c:style val="2"/>
    </mc:Fallback>
  </mc:AlternateContent>
  <c:pivotSource>
    <c:name>[A02_Listado_DocRecopilados_v2.xlsm]Graficos!Tabla dinámica4</c:name>
    <c:fmtId val="13"/>
  </c:pivotSource>
  <c:chart>
    <c:title>
      <c:tx>
        <c:rich>
          <a:bodyPr/>
          <a:lstStyle/>
          <a:p>
            <a:pPr>
              <a:defRPr sz="1600"/>
            </a:pPr>
            <a:r>
              <a:rPr lang="en-US" sz="1600"/>
              <a:t>ESTUDIOS E INFORMES</a:t>
            </a:r>
            <a:r>
              <a:rPr lang="en-US" sz="1600" baseline="0"/>
              <a:t> TÉCNICOS</a:t>
            </a:r>
            <a:endParaRPr lang="en-US" sz="1600"/>
          </a:p>
        </c:rich>
      </c:tx>
      <c:layout>
        <c:manualLayout>
          <c:xMode val="edge"/>
          <c:yMode val="edge"/>
          <c:x val="0.20113363954505684"/>
          <c:y val="3.3536307961504815E-2"/>
        </c:manualLayout>
      </c:layout>
      <c:overlay val="0"/>
    </c:title>
    <c:autoTitleDeleted val="0"/>
    <c:pivotFmts>
      <c:pivotFmt>
        <c:idx val="0"/>
        <c:marker>
          <c:symbol val="none"/>
        </c:marker>
        <c:dLbl>
          <c:idx val="0"/>
          <c:spPr/>
          <c:txPr>
            <a:bodyPr/>
            <a:lstStyle/>
            <a:p>
              <a:pPr>
                <a:defRPr/>
              </a:pPr>
              <a:endParaRPr lang="es-ES_tradnl"/>
            </a:p>
          </c:txPr>
          <c:showLegendKey val="0"/>
          <c:showVal val="0"/>
          <c:showCatName val="1"/>
          <c:showSerName val="0"/>
          <c:showPercent val="1"/>
          <c:showBubbleSize val="0"/>
        </c:dLbl>
      </c:pivotFmt>
      <c:pivotFmt>
        <c:idx val="1"/>
        <c:marker>
          <c:symbol val="none"/>
        </c:marker>
        <c:dLbl>
          <c:idx val="0"/>
          <c:spPr/>
          <c:txPr>
            <a:bodyPr/>
            <a:lstStyle/>
            <a:p>
              <a:pPr>
                <a:defRPr/>
              </a:pPr>
              <a:endParaRPr lang="es-ES_tradnl"/>
            </a:p>
          </c:txPr>
          <c:showLegendKey val="0"/>
          <c:showVal val="0"/>
          <c:showCatName val="1"/>
          <c:showSerName val="0"/>
          <c:showPercent val="1"/>
          <c:showBubbleSize val="0"/>
        </c:dLbl>
      </c:pivotFmt>
      <c:pivotFmt>
        <c:idx val="2"/>
        <c:marker>
          <c:symbol val="none"/>
        </c:marker>
        <c:dLbl>
          <c:idx val="0"/>
          <c:spPr/>
          <c:txPr>
            <a:bodyPr/>
            <a:lstStyle/>
            <a:p>
              <a:pPr>
                <a:defRPr/>
              </a:pPr>
              <a:endParaRPr lang="es-ES_tradnl"/>
            </a:p>
          </c:txPr>
          <c:showLegendKey val="0"/>
          <c:showVal val="0"/>
          <c:showCatName val="1"/>
          <c:showSerName val="0"/>
          <c:showPercent val="1"/>
          <c:showBubbleSize val="0"/>
        </c:dLbl>
      </c:pivotFmt>
      <c:pivotFmt>
        <c:idx val="3"/>
        <c:marker>
          <c:symbol val="none"/>
        </c:marker>
        <c:dLbl>
          <c:idx val="0"/>
          <c:spPr/>
          <c:txPr>
            <a:bodyPr/>
            <a:lstStyle/>
            <a:p>
              <a:pPr>
                <a:defRPr/>
              </a:pPr>
              <a:endParaRPr lang="es-ES_tradnl"/>
            </a:p>
          </c:txPr>
          <c:showLegendKey val="0"/>
          <c:showVal val="0"/>
          <c:showCatName val="1"/>
          <c:showSerName val="0"/>
          <c:showPercent val="1"/>
          <c:showBubbleSize val="0"/>
        </c:dLbl>
      </c:pivotFmt>
    </c:pivotFmts>
    <c:view3D>
      <c:rotX val="15"/>
      <c:rotY val="0"/>
      <c:rAngAx val="0"/>
      <c:perspective val="30"/>
    </c:view3D>
    <c:floor>
      <c:thickness val="0"/>
    </c:floor>
    <c:sideWall>
      <c:thickness val="0"/>
    </c:sideWall>
    <c:backWall>
      <c:thickness val="0"/>
    </c:backWall>
    <c:plotArea>
      <c:layout>
        <c:manualLayout>
          <c:layoutTarget val="inner"/>
          <c:xMode val="edge"/>
          <c:yMode val="edge"/>
          <c:x val="8.2216562116426764E-2"/>
          <c:y val="0.24620056550902147"/>
          <c:w val="0.82077944508322787"/>
          <c:h val="0.71685825503696099"/>
        </c:manualLayout>
      </c:layout>
      <c:pie3DChart>
        <c:varyColors val="1"/>
        <c:ser>
          <c:idx val="0"/>
          <c:order val="0"/>
          <c:tx>
            <c:strRef>
              <c:f>Graficos!$B$50</c:f>
              <c:strCache>
                <c:ptCount val="1"/>
                <c:pt idx="0">
                  <c:v>Total</c:v>
                </c:pt>
              </c:strCache>
            </c:strRef>
          </c:tx>
          <c:dLbls>
            <c:spPr/>
            <c:txPr>
              <a:bodyPr/>
              <a:lstStyle/>
              <a:p>
                <a:pPr>
                  <a:defRPr/>
                </a:pPr>
                <a:endParaRPr lang="es-ES_tradnl"/>
              </a:p>
            </c:txPr>
            <c:showLegendKey val="0"/>
            <c:showVal val="0"/>
            <c:showCatName val="1"/>
            <c:showSerName val="0"/>
            <c:showPercent val="1"/>
            <c:showBubbleSize val="0"/>
            <c:showLeaderLines val="1"/>
          </c:dLbls>
          <c:cat>
            <c:strRef>
              <c:f>Graficos!$A$51:$A$60</c:f>
              <c:strCache>
                <c:ptCount val="9"/>
                <c:pt idx="0">
                  <c:v>Calidad del Agua</c:v>
                </c:pt>
                <c:pt idx="1">
                  <c:v>Cambio Climático</c:v>
                </c:pt>
                <c:pt idx="2">
                  <c:v>Desarrollo Territorial</c:v>
                </c:pt>
                <c:pt idx="3">
                  <c:v>Estaciones Hidrométricas</c:v>
                </c:pt>
                <c:pt idx="4">
                  <c:v>Eventos Extremos</c:v>
                </c:pt>
                <c:pt idx="5">
                  <c:v>Infraestructura Hidráulica</c:v>
                </c:pt>
                <c:pt idx="6">
                  <c:v>Medio Ambiente</c:v>
                </c:pt>
                <c:pt idx="7">
                  <c:v>Recursos Hídricos</c:v>
                </c:pt>
                <c:pt idx="8">
                  <c:v>SilvoAgroPecuario</c:v>
                </c:pt>
              </c:strCache>
            </c:strRef>
          </c:cat>
          <c:val>
            <c:numRef>
              <c:f>Graficos!$B$51:$B$60</c:f>
              <c:numCache>
                <c:formatCode>General</c:formatCode>
                <c:ptCount val="9"/>
                <c:pt idx="0">
                  <c:v>7</c:v>
                </c:pt>
                <c:pt idx="1">
                  <c:v>5</c:v>
                </c:pt>
                <c:pt idx="2">
                  <c:v>1</c:v>
                </c:pt>
                <c:pt idx="3">
                  <c:v>5</c:v>
                </c:pt>
                <c:pt idx="4">
                  <c:v>5</c:v>
                </c:pt>
                <c:pt idx="5">
                  <c:v>7</c:v>
                </c:pt>
                <c:pt idx="6">
                  <c:v>26</c:v>
                </c:pt>
                <c:pt idx="7">
                  <c:v>14</c:v>
                </c:pt>
                <c:pt idx="8">
                  <c:v>2</c:v>
                </c:pt>
              </c:numCache>
            </c:numRef>
          </c:val>
        </c:ser>
        <c:dLbls>
          <c:showLegendKey val="0"/>
          <c:showVal val="0"/>
          <c:showCatName val="1"/>
          <c:showSerName val="0"/>
          <c:showPercent val="1"/>
          <c:showBubbleSize val="0"/>
          <c:showLeaderLines val="1"/>
        </c:dLbls>
      </c:pie3DChart>
    </c:plotArea>
    <c:plotVisOnly val="1"/>
    <c:dispBlanksAs val="gap"/>
    <c:showDLblsOverMax val="0"/>
  </c:chart>
  <c:spPr>
    <a:solidFill>
      <a:schemeClr val="accent3">
        <a:lumMod val="20000"/>
        <a:lumOff val="80000"/>
      </a:schemeClr>
    </a:solidFill>
  </c:sp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Lst>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723900</xdr:colOff>
      <xdr:row>4</xdr:row>
      <xdr:rowOff>723900</xdr:rowOff>
    </xdr:to>
    <xdr:pic>
      <xdr:nvPicPr>
        <xdr:cNvPr id="3" name="Imagen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62000"/>
          <a:ext cx="723900"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723900</xdr:colOff>
      <xdr:row>4</xdr:row>
      <xdr:rowOff>76200</xdr:rowOff>
    </xdr:from>
    <xdr:to>
      <xdr:col>7</xdr:col>
      <xdr:colOff>704850</xdr:colOff>
      <xdr:row>4</xdr:row>
      <xdr:rowOff>647700</xdr:rowOff>
    </xdr:to>
    <xdr:pic>
      <xdr:nvPicPr>
        <xdr:cNvPr id="4" name="0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838200"/>
          <a:ext cx="1009650"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4</xdr:row>
      <xdr:rowOff>0</xdr:rowOff>
    </xdr:from>
    <xdr:to>
      <xdr:col>6</xdr:col>
      <xdr:colOff>914400</xdr:colOff>
      <xdr:row>4</xdr:row>
      <xdr:rowOff>723900</xdr:rowOff>
    </xdr:to>
    <xdr:sp macro="" textlink="">
      <xdr:nvSpPr>
        <xdr:cNvPr id="2055" name="Cuadro de texto 2"/>
        <xdr:cNvSpPr txBox="1">
          <a:spLocks noChangeArrowheads="1"/>
        </xdr:cNvSpPr>
      </xdr:nvSpPr>
      <xdr:spPr bwMode="auto">
        <a:xfrm>
          <a:off x="2447925" y="762000"/>
          <a:ext cx="40005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800" b="1" i="0" u="none" strike="noStrike" baseline="0">
              <a:solidFill>
                <a:srgbClr val="1F497D"/>
              </a:solidFill>
              <a:latin typeface="Verdana"/>
              <a:ea typeface="Verdana"/>
              <a:cs typeface="Verdana"/>
            </a:rPr>
            <a:t>GOBIERNO DE CHILE</a:t>
          </a:r>
          <a:endParaRPr lang="es-ES" sz="1000" b="0" i="0" u="none" strike="noStrike" baseline="0">
            <a:solidFill>
              <a:srgbClr val="000000"/>
            </a:solidFill>
            <a:latin typeface="Verdana"/>
            <a:ea typeface="Verdana"/>
            <a:cs typeface="Verdana"/>
          </a:endParaRPr>
        </a:p>
        <a:p>
          <a:pPr algn="l" rtl="0">
            <a:defRPr sz="1000"/>
          </a:pPr>
          <a:r>
            <a:rPr lang="es-ES" sz="800" b="1" i="0" u="none" strike="noStrike" baseline="0">
              <a:solidFill>
                <a:srgbClr val="1F497D"/>
              </a:solidFill>
              <a:latin typeface="Verdana"/>
              <a:ea typeface="Verdana"/>
              <a:cs typeface="Verdana"/>
            </a:rPr>
            <a:t>MINISTERIO DE OBRAS PÚBLICAS</a:t>
          </a:r>
          <a:endParaRPr lang="es-ES" sz="1000" b="0" i="0" u="none" strike="noStrike" baseline="0">
            <a:solidFill>
              <a:srgbClr val="000000"/>
            </a:solidFill>
            <a:latin typeface="Verdana"/>
            <a:ea typeface="Verdana"/>
            <a:cs typeface="Verdana"/>
          </a:endParaRPr>
        </a:p>
        <a:p>
          <a:pPr algn="l" rtl="0">
            <a:defRPr sz="1000"/>
          </a:pPr>
          <a:r>
            <a:rPr lang="es-ES" sz="800" b="1" i="0" u="none" strike="noStrike" baseline="0">
              <a:solidFill>
                <a:srgbClr val="1F497D"/>
              </a:solidFill>
              <a:latin typeface="Verdana"/>
              <a:ea typeface="Verdana"/>
              <a:cs typeface="Verdana"/>
            </a:rPr>
            <a:t>DIRECCIÓN GENERAL DE AGUAS</a:t>
          </a:r>
          <a:endParaRPr lang="es-ES" sz="1000" b="0" i="0" u="none" strike="noStrike" baseline="0">
            <a:solidFill>
              <a:srgbClr val="000000"/>
            </a:solidFill>
            <a:latin typeface="Verdana"/>
            <a:ea typeface="Verdana"/>
            <a:cs typeface="Verdana"/>
          </a:endParaRPr>
        </a:p>
        <a:p>
          <a:pPr algn="l" rtl="0">
            <a:defRPr sz="1000"/>
          </a:pPr>
          <a:r>
            <a:rPr lang="es-ES" sz="800" b="1" i="0" u="none" strike="noStrike" baseline="0">
              <a:solidFill>
                <a:srgbClr val="1F497D"/>
              </a:solidFill>
              <a:latin typeface="Verdana"/>
              <a:ea typeface="Verdana"/>
              <a:cs typeface="Verdana"/>
            </a:rPr>
            <a:t>DIRECCIÓN REGIONAL DE AGUAS – REGIÓN DEL MAULE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104775</xdr:colOff>
      <xdr:row>7</xdr:row>
      <xdr:rowOff>0</xdr:rowOff>
    </xdr:from>
    <xdr:to>
      <xdr:col>7</xdr:col>
      <xdr:colOff>628650</xdr:colOff>
      <xdr:row>10</xdr:row>
      <xdr:rowOff>190499</xdr:rowOff>
    </xdr:to>
    <xdr:sp macro="[0]!ImprimirFichaPDF" textlink="">
      <xdr:nvSpPr>
        <xdr:cNvPr id="2" name="1 Rectángulo redondeado"/>
        <xdr:cNvSpPr/>
      </xdr:nvSpPr>
      <xdr:spPr>
        <a:xfrm>
          <a:off x="5114925" y="1333500"/>
          <a:ext cx="1285875" cy="761999"/>
        </a:xfrm>
        <a:prstGeom prst="roundRect">
          <a:avLst>
            <a:gd name="adj" fmla="val 33019"/>
          </a:avLst>
        </a:prstGeom>
        <a:solidFill>
          <a:schemeClr val="accent3">
            <a:lumMod val="40000"/>
            <a:lumOff val="60000"/>
          </a:schemeClr>
        </a:solidFill>
        <a:ln>
          <a:solidFill>
            <a:schemeClr val="bg1">
              <a:lumMod val="50000"/>
            </a:schemeClr>
          </a:solidFill>
        </a:ln>
        <a:scene3d>
          <a:camera prst="orthographicFront"/>
          <a:lightRig rig="threePt" dir="t"/>
        </a:scene3d>
        <a:sp3d>
          <a:bevelT prst="convex"/>
        </a:sp3d>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es-ES" sz="1100"/>
            <a:t>Pulsar</a:t>
          </a:r>
          <a:r>
            <a:rPr lang="es-ES" sz="1100" baseline="0"/>
            <a:t> para </a:t>
          </a:r>
          <a:r>
            <a:rPr lang="es-ES" sz="1100"/>
            <a:t>IMPRIMIR en</a:t>
          </a:r>
          <a:r>
            <a:rPr lang="es-ES" sz="1100" baseline="0"/>
            <a:t> PDF</a:t>
          </a:r>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5</xdr:row>
      <xdr:rowOff>0</xdr:rowOff>
    </xdr:from>
    <xdr:to>
      <xdr:col>9</xdr:col>
      <xdr:colOff>0</xdr:colOff>
      <xdr:row>20</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27</xdr:row>
      <xdr:rowOff>0</xdr:rowOff>
    </xdr:from>
    <xdr:to>
      <xdr:col>9</xdr:col>
      <xdr:colOff>0</xdr:colOff>
      <xdr:row>42</xdr:row>
      <xdr:rowOff>0</xdr:rowOff>
    </xdr:to>
    <xdr:graphicFrame macro="">
      <xdr:nvGraphicFramePr>
        <xdr:cNvPr id="3" name="2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47</xdr:row>
      <xdr:rowOff>0</xdr:rowOff>
    </xdr:from>
    <xdr:to>
      <xdr:col>9</xdr:col>
      <xdr:colOff>0</xdr:colOff>
      <xdr:row>62</xdr:row>
      <xdr:rowOff>0</xdr:rowOff>
    </xdr:to>
    <xdr:graphicFrame macro="">
      <xdr:nvGraphicFramePr>
        <xdr:cNvPr id="6" name="5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Oscar Romera Martinez" refreshedDate="42530.560924305559" createdVersion="4" refreshedVersion="4" minRefreshableVersion="3" recordCount="173">
  <cacheSource type="worksheet">
    <worksheetSource name="Tabla1"/>
  </cacheSource>
  <cacheFields count="15">
    <cacheField name="Referencia" numFmtId="0">
      <sharedItems count="173">
        <s v="CA010"/>
        <s v="CA030"/>
        <s v="CA040"/>
        <s v="CA045"/>
        <s v="CA050"/>
        <s v="CA055"/>
        <s v="CA060"/>
        <s v="CA070"/>
        <s v="CA080"/>
        <s v="CC005"/>
        <s v="CC006"/>
        <s v="CC010"/>
        <s v="CC020"/>
        <s v="CC030"/>
        <s v="CC040"/>
        <s v="CC060"/>
        <s v="CC080"/>
        <s v="CC090"/>
        <s v="DT010"/>
        <s v="DT015"/>
        <s v="DT020"/>
        <s v="DT021"/>
        <s v="DT022"/>
        <s v="DT025"/>
        <s v="DT030"/>
        <s v="DT031"/>
        <s v="DT032"/>
        <s v="DT040"/>
        <s v="DT050"/>
        <s v="DT055"/>
        <s v="DT060"/>
        <s v="DT070"/>
        <s v="DT075"/>
        <s v="DT080"/>
        <s v="DT085"/>
        <s v="DT090"/>
        <s v="EH005"/>
        <s v="EH006"/>
        <s v="EH010"/>
        <s v="EH020"/>
        <s v="EH030"/>
        <s v="EH040"/>
        <s v="EX005"/>
        <s v="EX020"/>
        <s v="EX025"/>
        <s v="EX027"/>
        <s v="EX026"/>
        <s v="EX028"/>
        <s v="EX029"/>
        <s v="EX030"/>
        <s v="EX033"/>
        <s v="EX035"/>
        <s v="EX040"/>
        <s v="EX050"/>
        <s v="EX060"/>
        <s v="EX065"/>
        <s v="EX070"/>
        <s v="EX080"/>
        <s v="EX090"/>
        <s v="EX100"/>
        <s v="EX113"/>
        <s v="EX114"/>
        <s v="EX115"/>
        <s v="EX116"/>
        <s v="EX117"/>
        <s v="EX120"/>
        <s v="IH010"/>
        <s v="IH020"/>
        <s v="IH030"/>
        <s v="IH035"/>
        <s v="IH040"/>
        <s v="IH050"/>
        <s v="IH060"/>
        <s v="IH065"/>
        <s v="IH070"/>
        <s v="IH075"/>
        <s v="IH080"/>
        <s v="IH090"/>
        <s v="IH092"/>
        <s v="IH093"/>
        <s v="IH095"/>
        <s v="IH100"/>
        <s v="IH110"/>
        <s v="IH130"/>
        <s v="IH131"/>
        <s v="IH140"/>
        <s v="IH145"/>
        <s v="IH146"/>
        <s v="IH150"/>
        <s v="IH160"/>
        <s v="IH170"/>
        <s v="IH180"/>
        <s v="IH190"/>
        <s v="IH200"/>
        <s v="IH210"/>
        <s v="IH220"/>
        <s v="IH230"/>
        <s v="IH240"/>
        <s v="IH245"/>
        <s v="IH250"/>
        <s v="IH280"/>
        <s v="CC091"/>
        <s v="MA010"/>
        <s v="MA020"/>
        <s v="MA030"/>
        <s v="MA040"/>
        <s v="MA045"/>
        <s v="MA050"/>
        <s v="MA061"/>
        <s v="MA060"/>
        <s v="MA065"/>
        <s v="MA070"/>
        <s v="MA075"/>
        <s v="MA080"/>
        <s v="MA085"/>
        <s v="MA090"/>
        <s v="MA095"/>
        <s v="MA096"/>
        <s v="MA100"/>
        <s v="MA105"/>
        <s v="MA110"/>
        <s v="MA115"/>
        <s v="MA120"/>
        <s v="MA125"/>
        <s v="MA130"/>
        <s v="MA140"/>
        <s v="MA150"/>
        <s v="MA151"/>
        <s v="MA160"/>
        <s v="MA170"/>
        <s v="MA175"/>
        <s v="MA176"/>
        <s v="MA180"/>
        <s v="MA185"/>
        <s v="MA186"/>
        <s v="MA190"/>
        <s v="MA191"/>
        <s v="MA200"/>
        <s v="MA210"/>
        <s v="MA230"/>
        <s v="MA231"/>
        <s v="MA232"/>
        <s v="MA233"/>
        <s v="MA235"/>
        <s v="MA240"/>
        <s v="RH005"/>
        <s v="RH010"/>
        <s v="RH015"/>
        <s v="RH020"/>
        <s v="RH030"/>
        <s v="RH040"/>
        <s v="RH050"/>
        <s v="RH060"/>
        <s v="RH070"/>
        <s v="RH080"/>
        <s v="RH090"/>
        <s v="RH100"/>
        <s v="RH110"/>
        <s v="RH120"/>
        <s v="RH130"/>
        <s v="RH135"/>
        <s v="RH140"/>
        <s v="RH150"/>
        <s v="RH160"/>
        <s v="RH170"/>
        <s v="SAP010"/>
        <s v="SAP020"/>
        <s v="SAP030"/>
        <s v="SAP040"/>
        <s v="SAP050"/>
        <s v="SAP060"/>
        <s v="SAP070"/>
        <s v="SAP080"/>
      </sharedItems>
    </cacheField>
    <cacheField name="Codigo" numFmtId="0">
      <sharedItems/>
    </cacheField>
    <cacheField name="ID" numFmtId="165">
      <sharedItems containsSemiMixedTypes="0" containsString="0" containsNumber="1" containsInteger="1" minValue="5" maxValue="280"/>
    </cacheField>
    <cacheField name="Tipo de documento" numFmtId="0">
      <sharedItems containsBlank="1" count="10">
        <s v="Estudio o Informe Técnico"/>
        <s v="Plan, Política, Programa"/>
        <s v="Artículo Técnico"/>
        <s v="Presentación"/>
        <s v="Catastro"/>
        <s v="Tesis"/>
        <s v="Proyecto de Ingeniería"/>
        <m u="1"/>
        <s v="Estudio" u="1"/>
        <s v="Informe Técnico" u="1"/>
      </sharedItems>
    </cacheField>
    <cacheField name="Título" numFmtId="0">
      <sharedItems count="178">
        <s v="ANÁLISIS REDES VIGILANCIA CALIDAD AGUAS TERRESTRES. ESTADISTICA HIDROQUIMICA NACIONAl. ETAPA l. SEPTlMA REGION"/>
        <s v="MEJORAMIENTO DE CALIDAD DE AGUAS DE RIEGO"/>
        <s v="DIAGNOSTICO Y CLASIFICACIÓN DE LOS CURSOS Y CUERPOS DE AGUA SEGÚN OBJETIVOS DE CALIDAD, CUENCA MATAQUITO"/>
        <s v="DIAGNOSTICO Y CLASIFICACIÓN DE LOS CURSOS Y CUERPOS DE AGUA SEGÚN OBJETIVOS DE CALIDAD. INFORME FINAL"/>
        <s v="DIAGNOSTICO Y CLASIFICACIÓN DE LOS CURSOS Y CUERPOS DE AGUA SEGÚN OBJETIVOS DE CALIDAD. CUENCA DEL RÍO MAULE"/>
        <s v="ESTUDIO DE CALIDAD DE AGUAS SUBTERRÁNEAS EN LAS CUENCAS DE HUASCO Y MATAQUITO. RESUMEN EJECUTIVO"/>
        <s v="PROGRAMA GESTIÓN DE LA CALIDAD DEL AGUA POR PARTE DE ORGANIZACIONES DE REGANTES. INFORME FINAL"/>
        <s v="CONTAMINACIÓN DEL AGUA EN LA REGIÓN DEL MAULE Y BIOBÍO"/>
        <s v="ANALISIS CRÍTICO DE LA RED DE CALIDAD DE AGUAS SUPERFICIALES Y SUBTERRANEAS DE LA DGA"/>
        <s v="ESTRATEGIA NACIONAL DE CAMBIO CLIMATICO"/>
        <s v="ESTUDIO DE LA VARIABILIDAD CLIMATICA EN CHILE PARA EL SIGLO XXI. INFORME FINAL"/>
        <s v="ANÁLISIS DE VULNERABILIDAD SILVOAGROPECUARIA, RECURSOS HÍDRICOS Y EDÁFICOS DE CHILE FRENTE A ESCENARIOS DE CAMBIO CLIMÁTICO. INFORME FINAL"/>
        <s v="ANÁLISIS DE VULNERABILIDAD DE LOS RECURSOS HÍDRICOS DE CHILE FRENTE A ESCENARIOS DE CAMBIO CLIMÁTICO. RÍO PERQUILAUQUEN EN SAN MIGUEL"/>
        <s v="DIAGNÓSTICO DE LOS DESAFÍOS PLANTEADOS POR EL CAMBIO CLIMÁTICO EN CHILE. INFORME FINAL"/>
        <s v="DETERMINACIÓN DE LA EROSIÓN ACTUAL Y POTENCIAL DE LOS SUELOS. REGIÓN DEL MAULE. SÍNTESIS DE RESULTADOS"/>
        <s v="FORTALECIMIENTO DE CAPACIDADES DE LOS ENCARGADOS DE LA FORMULACIÓN DE POLÍTICAS PARA HACER FRENTE AL CAMBIO CLIMÁTICO EN IBEROAMÉRICA EVALUACIÓN DEL IMPACTO SOCIAL DEL CAMBIO CLIMÁTICO EN CHILE. INFORME FINAL"/>
        <s v="POLÍTICAS PÚBLICAS PARA LA ADAPTACIÓN A LOS IMPACTOS DEL CAMBIO CLIMÁTICO EN LA AGRICULTURA DE RIEGO EN CHILE CENTRAL"/>
        <s v="PLAN NACIONAL DE ADAPTACIÓN AL CAMBIO CLIMÁTICO. PROPUESTA"/>
        <s v="INFORME DIAGNOSTICO Y PROSPECTIVA. PROCESO DE ACTUALIZACION ERD MAULE 2008-2020"/>
        <s v="PROGRAMA DE ORGANIZACIÓN Y CAPACITACIÓN DE COMUNIDADES DE AGUAS, Y DESARROLLO DE ORGANIZACIONES TERRITORIALES EN DIVERSAS REGIONES DEL PAÍS"/>
        <s v="ACTUALIZACIÓN PLAN REGIONAL DE DESARROLLO URBANO. MEMORIA"/>
        <s v="PROGRAMA DE INFRAESTRUCTURA RURAL PARA EL DESARROLLO TERRITORIAL, Cuenca Mataquito"/>
        <s v="Plan Marco de Desarrollo Territorial Área Poniente de Talca"/>
        <s v="ESTRATEGIA REGIONAL DE DESARROLLO"/>
        <s v="PROPUESTA DE POLÍTICA REGIONAL DE DESARROLLO RURAL REGIÓN DEL MAULE"/>
        <s v="PLAN MARCO DE DESARROLLO TERRITORIAL ;MAULE SUR"/>
        <s v="PLAN MARCO DE DESARROLLO TERRITORIAL PMDT, EMBALSE DE ANCOA"/>
        <s v="PLAN REGIONAL DE ORDENAMIENTO TERRITORIAL(PROT)"/>
        <s v="GUÍA ANÁLISIS Y ZONIFICACIÓN DE CUENCAS  HIDROGRÁFICAS PARA EL ORDENAMIENTO TERRITORIAL"/>
        <s v="PLAN REGIONAL DE GOBIERNO. REGIÓN DEL MAULE 2014-2018"/>
        <s v="PROGRAMA GESTIÓN TERRITORIAL PARA ZONAS REZAGADAS"/>
        <s v="PLAN SECANO MAULE SUR 2016-2018. INICIATIVAS E INVERSIONES DESARROLLO TERRITORIO SECANO MAULE SUR. COMUNAS DE CAUQUENES, CHANCO, PELLUHUE Y EMPEDRADO. REGIÓN DEL MAULE"/>
        <s v="PLAN DE ACCIÓN REGIÓN DEL MAULE; SECTOR TURISMO 2014-2018"/>
        <s v="ACTUALIZACIÓN DE LA AGENDA DE INNOVACIÓN AGRARIA DE LA REGIÓN DEL MAULE"/>
        <s v="PLANES REGUALDORES COMUNALES"/>
        <s v="PLAN DESARROLLO COMUNAL (PLADECO)"/>
        <s v="CATASTRO DE POZOS POR REGIÓN"/>
        <s v="ANÁLISIS CRÍTICO DE LA  RED DE MEDICIÓN DE NIVELES DE AGUA SUBTERRÁNEA"/>
        <s v="EVALUACIÓN RED HIDROMÉTRICA NACIONAL. ANEXO"/>
        <s v="ANALISIS Y VALORACION DE LA FUNCIONALIDAD DE LA RED FLUVIOMETRICA Y ASIGNACION DE DERECHOS DE APROVECHAMIENTO. INFORME FINAL"/>
        <s v="MEJORAMIENTO Y AMPLIACIÓN DE RED DE AGUAS SUBTERRÁNEAS, REGIONES VII A XI. INFORME FINAL"/>
        <s v="ANÁLISIS CRÍTICO DE LAS REDES HIDROMÉTRICAS, REGIONES V A VII Y REGIÓN METROPOLITANA. INFORME FINAL"/>
        <s v="ANALISIS DE EVENTOS HIDROMETEOROLOGICOS EXTREMOS EN EL PAIS. CAUDALES MAXIMOS y MINIMOS . VOLUMEN I"/>
        <s v="PLAN NACIONAL DE PROTECCIÓN CIVIL"/>
        <s v="EVENTOS METEOROLÓGICOS SEVEROS OCURRIDOS EN CHILE CONTINENTAL: DESCRIPCIÓN Y PATRONES SINÓPTICOS TIPOS ASOCIADOS, DIRECCIÓN METEOROLÓGICA DE CHILE"/>
        <s v="LEY 20.304 “SOBRE OPERACIÓN DE EMBALSES FRENTE A ALERTAS Y EMERGENCIAS DE CRECIDAS Y OTRAS MEDIDAS QUE INDICA. DEFINICIÓN DE EMBALSE DE COLBÚN COMO EMBALSE DE CONTROL"/>
        <s v="CONSTRUCCIÓN DE HERRAMIENTAS MATEMÁTIAS PARA LA PREDICCIÓN DEL COMPORTAMIENTO DE LOS CAUDALES PUNTA EN LA REGIÓN DEL MAULE"/>
        <s v="DETERMINACIÓN DE LOS UMBRALES DE ALERTA DE CAUDALES, LLUVIAS Y TEMPERATURAS DEL SISTEMA DE TRANSMISIÓN DE DATOS DE LA DGA"/>
        <s v="GESTIÓN DEL RIESGO DE SEQUÍA Y OTROS EVENTOS CLIMÁTICOS EXTREMOS EN CHILE"/>
        <s v="PROTOCOLO ONEMI-DGA. DECLARACIÓN DE ALERTA DE CRECIDAS Y OTRAS MEDIDAS"/>
        <s v="PLAN COMUNAL DE EMERGENCIA. COMUNA DE LONGAVÍ"/>
        <s v="EVENTOS EXTREMOS DE PRECIPITACIÓN Y TEMPERATURA EN CHILE: PROYECCIONES PARA FINES DE SIGLO XXI."/>
        <s v="PLAN PROVINCIAL DE EMERGENCIA 2014 CURICÓ"/>
        <s v="POLÍTICA NACIONAL DE PARA LA GESTIÓN DE RIESGO DE DESASTRES"/>
        <s v="PROTOCOLO ONEMI-SHOA PARA EVENTO DE TSUNAMI EN LAS COSTAS DE CHILE"/>
        <s v="PLAN COMUNAL DE PROTECCIÓN CIVIL Y EMERGENCIA.  CHANCO"/>
        <s v="PLAN REGIONAL DE EMERGENCIA. AÑO 2015"/>
        <s v="PLAN DE EMERGENCIA PROVINCIAL CAUQUENES"/>
        <s v="PLAN DE EMERGENCIA PROVINCIAL LINARES"/>
        <s v="PLAN DE EMERGENCIA PROVINCIAL TALCA"/>
        <s v="PLAN COMUNAL DE EMERGENCIA. COMUNA DE CAUQUENES"/>
        <s v="PLAN COMUNAL DE PROTECCIÓN CIVIL Y EMERGENCIA.  PARRAL"/>
        <s v="PLAN COMUNAL DE PROTECCIÓN CIVIL.  COMUNA DE LINARES"/>
        <s v="PLAN COMUNAL DE PROTECCIÓN CIVIL Y EMERGENCIA.  PELLUHUE"/>
        <s v="PLAN COMUNAL DE EMERGENCIA. COMUNA DE TALCA"/>
        <s v="GESTIÓN REGIONAL PLAN INVIERNO 2015. INFORME EJECUTIVO Nº 1"/>
        <s v="PROYECTO CANAL LINARES. RESUMEN GENERAL"/>
        <s v="ESTUDIO DE SÍNTESIS DE CATASTROS DE USUARIOS DE AGUA E INFRAESTRUCTURAS DE APROVECHAMIENTO.VOLUMEN II"/>
        <s v="CATASTRO E INSPECCIÓN PRELIMINAR DE EMBALSES MAYORES. TERCERA ETAPA. SEXTA Y SÉPTIMA REGIONES. VOLUMEN II CATASTRO DE EMBALSES MAYORES 7ª REGIÓN"/>
        <s v="ESTUDIOS PRE FACTIBILIDAD EMBALSE ESTACIONAL TABUNCO, COMUNA DE CUREPTO, VII REGIÓN AÑO 2000"/>
        <s v="LEVANTAMIENTO DE BOCATOMAS EN CAUCES NATURALES_V1,V2,V12,V14"/>
        <s v="LEVANTAMIENTO Y CATASTRO DE BOCATOMAS EN CAUCES NATURALES, II ETAPA. INFORME FINAL"/>
        <s v="PLAN MAESTRO DE EVACUACION Y DRENAJE DE AGUAS LLUVIAS TALCA"/>
        <s v="PRE FACTIBILIDAD CONSTRUCCION EMBASE EL CIPRÉS"/>
        <s v="PLAN MAESTRO DE EVACUACION Y DRENAJE DE AGUAS LLUVIAS LINARES"/>
        <s v="PLAN MAESTRO DE EVACUACION Y DRENAJE DE AGUAS LLUVIAS CURICO"/>
        <s v="EL RIEGO EN CHILE"/>
        <s v="PLAN MAESTRO DE MANEJO DE CAUCES CUENCA RIO MATAQUITO. VII REGION. ETAPA 5. INFORME FINAL"/>
        <s v="PLAN MAESTRO DE MANEJO DE CAUCES CUENCA RIO MAULE VII REGION."/>
        <s v="PLAN MAESTRO DE MANEJO DE CAUCES RIOS LONGAVÍ Y ACHIBUENO, VII REGION."/>
        <s v="ESTUDIO DE FACTIBILIDAD Y DISEÑO DEFINITIVO SISTEMA CUELLAR URBANIZADO, LINARES, VII REGIÓN"/>
        <s v="IMPLEMENTACIÓN DE UN SISTEMA DE INFORMACIÓN GEOGRÁFICA PARA LA GESTIÓN DEL PLAN MAESTRO DE AGUAS LLUVIAS DE TALCA"/>
        <s v="PROGRAMA DE CONSTRUCCIÓN Y REHABILITACIÓN DE OBRAS MEDIANAS DE RIEGO -PROM. CATASTRO DE OBRAS DE RIEGO Y ELABORACIÓN DEL PLAN DE INVERSIONES AL AÑO 2018 ZONA SUR REGIONES DE O'HIGGINS A MAGALLANES. INFORME FINAL (RESUMEN EJECUTIVO Y TOMO IV: ANEXOS B y C)"/>
        <s v="CATASTRO DE EMBALSES UBICADOS ENTRE LAS REGIONES DE VALPARAÍSO Y LA ARAUCANÍA. INFORME FINAL"/>
        <s v="CATASTRO DE EMBALSES UBICADOS ENTRE LAS REGIONES DE VALPARAÍSO Y LA ARAUCANÍA. CARTA"/>
        <s v="PLAN MAESTRO DE EVACUACION Y DRENAJE DE AGUAS LLUVIAS CONSTITUCIÓN"/>
        <s v="INFORME DE REPARACIÓN SIFÓN METALICO, CANAL CUMPEO, REGIÓN DEL MAULE "/>
        <s v="ASESORÍA DE INSPECCIÓN OBRA REPARACIÓN DE EMERGENCIA DEL CANAL CUMPEO, REGIÓN DEL MAULE. INFORME FINAL"/>
        <s v="MEJORAMIENTO DEL RIEGO EN RÍO TENO, REGIÓN DEL MAULE"/>
        <s v="ESTUDIO DE PERFIL. MEJORAMIENTO DEL RIEGO EN RÍO ARCHIBUENO, REGIÓN DEL MAULE"/>
        <s v="CATASTRO DE INICIATIVAS DE EMBALSES Y CANALES"/>
        <s v="ESTIMACIÓN DEL POTENCIAL DE MICROGENERACIÓN ASOCIADO A OBRAS DE RIEGO. INFORME FINAL"/>
        <s v="CATASTRO E INSPECCIÓN PRELIMINAR DE EMBALSES UBICADOS EN LAS REGIONES DE VALPARAÍSO, METROPOLITANA, DEL MAULE Y DE LA ARAUCANÍA"/>
        <s v="EMBALSES PARA RIEGO CONSTRUIDOS POR EL ESTADO"/>
        <s v="SISTEMA DE REGADÍO EMBALSE LONGAVI-CEDEC, LINARES, REGIÓN DEL MAULE"/>
        <s v="ESTUDIO DE PREFACTIBILIDAD PROYECTO CONSTRUCCIÓN DE  EMBALSE DE RIEGO HUEDQUE, COMUNA DE CAUQUENES. INFORME FINAL"/>
        <s v="CONSTRUCCION EVACUACIÓN AGUAS LLUVIAS SISTEMAS ESTERO EL CARBÓN CONSTITUCIÓN. ANEXOS Y ESTUDIO DE ANÁLISIS AMBIENTAL"/>
        <s v="ESTUDIO DE PREFACTIBILIDAD &quot;MEJORAMIENTO DEL SISTAMA DE RIEGO EN RÍO ACHIBUENO, REGIÓN DEL MAULE&quot;. TOMO III. &quot;ESTUDIOS HIDROLÓGICOS&quot;"/>
        <s v="ESTUDIO DE FACTIBILIDAD MEJORAMIENTO DEL RIEGO DE LA CUENCA RÍO TENO, REGIÓN DEL MAULE"/>
        <s v="ESTUDIO BÁSICO DE ANÁLISIS DE ALTERNATIVAS PILOTO DE RECARGA ARTIFICIAL LONTUÉ, VII REGIÓN"/>
        <s v="COMUNIDADES DE AGUA. CANALISTAS"/>
        <s v="Visión Conceptual de la Adaptación al Cambio Climático. Taller UICN, Proyecto EPIC 2013"/>
        <s v="PROBLEMAS AMBIENTALES EN CHILE"/>
        <s v="PLAN DE MANEJO RESERVA NACIONAL LOS BELLOTOS DEL MELADO"/>
        <s v="LAS AREAS SILVESTRES PROTEGIDAS PRIVADAS EN CHILE"/>
        <s v="POLÍTICA AMBIENTAL DE LA REGIÓN DEL MAULE"/>
        <s v="ESTRATEGIA Y PLAN DE ACCION PARA LA BIODIVERSIDAD EN LA VII REGIÓN DEL MAULE"/>
        <s v="FRAGMENTACIÓN Y DINÁMICA DE REGENERACIÓN DEL BOSQUE MAULINO: DIAGNÓSTICO ACTUAL Y PERSPECTIVAS FUTURAS"/>
        <s v="DETERMINACIÓN DE CAUDALES ECOLÓGICOS EN CUENCAS CON FAUNA ÍCTICA NATIVA Y EN ESTADO DE CONSERVACIÓN"/>
        <s v="ANÁLISIS DE REPRESENTATIVIDAD ECOSISTÉMICA DE LAS ÁREAS PROTEGIDAS PÚBLICAS Y PRIVADAS EN CHILE. INFORME FINAL"/>
        <s v="INFORME ANUAL DE MEDIO AMBIENTE, ENDESA CHILE 2007"/>
        <s v="CONTROL Y SEGUIMIENTO DEL CUMPLIMIENTO DE RESOLUCIONES DE CALIFICACIÓN AMBIENTAL, FASE I. INFORME FINAL"/>
        <s v="Evaluación preliminar de contingencia en Tranque de Relaves Las Palmas, Sector Pencahue, Región del Maule"/>
        <s v="LA OCDE Y EL MEDIO AMBIENTE EN CHILE"/>
        <s v="CONTAMINACIÓN DEL AIRE"/>
        <s v="DEFORESTACIÓN EN ECOSISTEMAS TEMPLADOS DE LA PRECORDILLERA ANDINA DEL CENTRO-SUR DE CHILE"/>
        <s v="CONTAMINACIÓN DE SUELOS"/>
        <s v="CONFLICTOS POR EL AGUA EN CHILE. ENTRE LOS DERECHOS HUMANOS Y LAS REGLAS DE MERCADO"/>
        <s v="INFORME DEL ESTADO DEL MEDIO AMBIENTE RESUMEN EJECUTIVO"/>
        <s v="CRITERIOS Y METODOLOGÍA PARA LA DETERMINACIÓN DEL CAUDAL ECOLÓGICO EN EL MARCO DEL SEIA"/>
        <s v="LAS ÁREAS PROTEGIDAS DE CHILE  ANTECEDENTES, INSTITUCIONALIDAD, ESTADÍSTICAS Y DESAFÍOS"/>
        <s v="Atlas de Faenas Mineras"/>
        <s v="Anfibios de Chile,_x000a_un desafío para la conservación"/>
        <s v="INFORME ANUAL DE MEDIO AMBIENTE REGIONAL, ENDESA  2012"/>
        <s v="SUSTENTABILIDAD AMBIENTAL PARA EL DESARROLLO"/>
        <s v="ESPECIES EN ESTADO DE CONSERVACION"/>
        <s v="BALANCE AMBIENTAL 2014. SACRIFICANDO CHILE POR LA INVERSIÓN"/>
        <s v="Plan de Recuperación, Conservación y Gestión de los Anfibios de Chile"/>
        <s v="EVALUACIÓN AMBIENTAL ESTRATÉGICA. PLAN REGIONAL DE ORDENAMIENTO TERRITORIAL DEL MAULE"/>
        <s v="APLICACIÓN DE LOS CRITERIOS DE LA UNIÓN INTERNACIONAL PARA LA CONSERVACIÓN DE LA NATURALEZA (IUCN) PARA LA EVALUACIÓN DE RIESGO DE LOS ECOSISTEMAS TERRESTRES DE CHILE "/>
        <s v="Catastro de Depósitos de Relave"/>
        <s v="Catastro de Descargas de RILES, Región del Maule"/>
        <s v="SEGUNDO REPORTE DEL ESTADO MEDIO AMBIENTE"/>
        <s v="Experiencia en el Establecimiento de Caudales Ambientales en Chile"/>
        <s v="APLICACIÓN DE LOS CRITERIOS DE LA UNIÓN INTERNACIONAL PARA LA CONSERVACIÓN DE LA NATURALEZA (IUCN) PARA LA EVALUACIÓ DE RIESGO DE LOS ECOSISTEMAS TERRESTRES DE CHILE"/>
        <s v="CUENTA PÚBLICA 2015. GESTIÓN MEDIO AMBIENTE REGIÓN DEL MAULE"/>
        <s v="Catastro de Rellenos Sanitarios, Estaciones de Transferencia y Vertederos"/>
        <s v="SISTEMA DE EVALUACIÓN DE IMPACTO AMBIENTAL"/>
        <s v="Plan de Recuperación Conservación y Gestión del Ruil"/>
        <s v="MEDIO AMBIENTE. INFORME ANUAL  2015"/>
        <s v="Reglamento de Caudal Ecológico Mínimo"/>
        <s v="Reforma Constitucional al Código de Aguas"/>
        <s v="Introducción al Cálculo de Caudales Ecológicos Endesa Chile, Un análisis de las tendencias actuales"/>
        <s v="Sistema Nacional de Información de Fiscalización Ambiental"/>
        <s v="AREAS RESTRINGIDAS MAULE"/>
        <s v="EXPERIENCIAS EN CAPTACION y UTILlZACION DE AGUA EN EL SECANO DE LA VII REGlON, PROVINCIA DE CAUQUENES."/>
        <s v="ÁNALISIS DE LA OFERTA Y DEMANDA DE RECURSOS HÍDRICOS EN CUENCAS CRITICAS DE LOA, RAPEL Y MATAQUITO. VOLUMEN III"/>
        <s v="EXPLORACIÓN DE LOS RECURSOS HÍDRICOS SUBTERRÁNEOS. VII REGIÓN. INFORME FINAL"/>
        <s v="DIAGNÓSTICO DE RECURSOS HÍDRICOS EN SECANO INTERIOR Y COSTERO VI A VIII REGIÓN. INFORME FINAL"/>
        <s v="BASES PLAN DIRECTOR PARA LA GESTIÓN DE LOS RECURSOS HÍDRICOS EN LA CUENCA DEL RÍO MAULE, DIAGNÓSTICO. RESUMEN EJECUTIVO"/>
        <s v="ASESORÍA PARA EL COMPLEMENTO Y ACTUALIZACIÓN  DE LA MODELACIÓN HIDROLÓGICA  DE LA CUENCA DEL RÍO MAULE "/>
        <s v="EVALUACIÓN DE LOS RECURSOS HÍDRICOS SUPERFICIALES DE LA CUENCA DEL RIO MAULE"/>
        <s v="ESTUDIO E IMPLEMENTACIÓN DE MODELOS HIDROLÓGICOS ACOPLADOS A SIG PARA EL MANEJO Y PLANIFICACIÓN, CUENCAS DE MAULE, MATAQUITO E ITATA"/>
        <s v=" ESTIMACIONES DE DEMANDA DE AGUA Y PROYECCIONES FUTURAS. REGIONES V A XII Y REGIÓN METROPOLITANA. INFORME FINAL"/>
        <s v="PLAN DIRECTOR PARA LA GESTIÓN DE LOS RECURSOS HÍDRICOS CUENCA DEL RÍO MAULE FASE II ACTUALIZACIÓN DEL MODELO DE OPERACIÓN DEL SISTEMA Y FORMULACIÓN DEL PLAN"/>
        <s v="DIAGNÓSTICO DE CAUDALES DISPONIBLES EN CUENCAS NO CONTROLADAS DE RECUPERACIÓN CUENCAS DE MAULE, MATAQUITO Y RAPEL. RESUMEN EJECUTIVO"/>
        <s v="LEVANTAMIENTO DE INFORMACION HIDROGEOLOGICA PARA MODELAR CUENCA DEL RIO MAULE. ETAPA II"/>
        <s v="PLAN REGIONAL DE INFRAESTRUCTURA Y GESTIÓN DEL RECURSO HÍDRICO AL 2021 REGIÓN DEL MAULE"/>
        <s v="POLÍTICA NACIONAL PARA LOS RECURSOS HÍDRICOS 2015"/>
        <s v="ESTUDIO HIDROGEOLÓGICO CUENCA DEL RÍO MATAQUITO.INFORME FINAL"/>
        <s v="DGA. REGIÓN DEL MAULE Y SUS DESAFÍOS EN LA GESTIÓN DEL RECURSO HÍDRICO"/>
        <s v="ANÁLISIS DE LA OFERTA Y DEMANDA DEL SERVICIO ECOSISTÉMICO PROVISIÓN DE AGUA EN CUENCA DE PURAPEL EN NIRIVILO, REGIÓN DEL MAULE, CENTRO-SUR DE CHILE"/>
        <s v="EVALUACIÓN DE LOS RECURSOS HÍDRICOS SUBTERRÁNEOS. SECTORES ACUÍFEROS MAULE MEDIO NORTE Y MAULE MEDIO SUR"/>
        <s v="BASE PARA PLANIFICACIÓN TERRITORIAL EN EL DESARROLLO HIDROELÉCTRICO FUTURO"/>
        <s v="INFORMACIÓN HÍDRICA DE LAS CUENCAS PRIORIZADAS. FICHAS TEMÁTICAS. CUENCA DEL MAULE"/>
        <s v="DIAGNOSTICO DEL RIEGO, Y DRENAJE EN LA VII REGIÓN"/>
        <s v="CENSO AGROPECUARIO FORESTAL_VII"/>
        <s v="ANÁLISIS DEL DÉFICIT HÍDRICO EN LA AGRICULTURA, CHILE"/>
        <s v="PROGRAMA DE DESARROLLO DEL RIEGO EN TUTUVÉN ETAPA DE EJECUCIÓN"/>
        <s v="ACTUALIZACIÓN DEL CATASTRO DE LA AGROINDUSTRIA HORTOFRUTÍCOLA CHILENA. RESUMEN EJECUTIVO"/>
        <s v="CAMBIOS TERRITORIALES Y TECNOLOGICOS EN EL RIEGO AGRICOLA EN CHILE ENTRE LOS AÑOS 1997 Y 2007"/>
        <s v="PROGRAMA DE TRANSFERENCIA PARA EL DESARROLLO DEL RIEGO EN ANCOA. ETAPA EJECUCIÓN. INFORME FINAL"/>
        <s v="CATASTRO ODEPA, REGION DEL MAULE 2015"/>
        <s v="EVALUACIÓN RED HIDROMÉTRICA NACIONAL. INFORME FINAL" u="1"/>
        <s v="CONSTRUCCION EVACUACIÓN AGUAS LLUVIAS SISTEMAS ESTERO EL CARBÓN CONSTITUCIÓN. ESTUDIO DE ANÁLISIS AMBIENTAL" u="1"/>
        <s v="Ctastro de Depósitos de Relave" u="1"/>
        <s v="LEY 20.304 “SOBRE OPERACIÓN DE EMBALSES FRENTE A ALERTAS Y EMERGENCIAS DE CRECIDAS Y OTRAS MEDIDAS QUE INDICA" u="1"/>
        <s v="PLAN SECANO MAULE SUR 2016-2018. INICIATIVAS E INVERSIONES DESARROLLO TERRITORIO SECANO MAULE SUR. COMUNAS DE CAUQUENES, CHANCO, PELLUHUE Y EMPREDRADO. REGIÓN DEL MAULE" u="1"/>
      </sharedItems>
    </cacheField>
    <cacheField name="Año" numFmtId="0">
      <sharedItems containsBlank="1" containsMixedTypes="1" containsNumber="1" containsInteger="1" minValue="1984" maxValue="2016" count="28">
        <n v="1994"/>
        <n v="2003"/>
        <n v="2004"/>
        <n v="2006"/>
        <n v="2009"/>
        <n v="2010"/>
        <n v="2014"/>
        <n v="2008"/>
        <n v="2011"/>
        <n v="2012"/>
        <n v="2013"/>
        <n v="2007"/>
        <s v="NS/ND"/>
        <n v="2015"/>
        <n v="2016"/>
        <m/>
        <n v="1984"/>
        <n v="1987"/>
        <n v="1995"/>
        <n v="2002"/>
        <n v="1991"/>
        <n v="1996"/>
        <n v="1999"/>
        <n v="2000"/>
        <n v="2001"/>
        <s v="-"/>
        <n v="1990"/>
        <n v="2005"/>
      </sharedItems>
    </cacheField>
    <cacheField name="Autor" numFmtId="0">
      <sharedItems containsBlank="1" count="99">
        <s v="Ayala, Cabrera y Asociados Ltda."/>
        <s v="JUN KUROSAWA"/>
        <s v="CADE INDIPE"/>
        <s v="GCF Ingenieros consultores"/>
        <s v="Sociedad Río Longaví"/>
        <s v="Estefania Peredo Ñuñez"/>
        <s v="Infraestructura y Ecología S.A."/>
        <s v="Comité Nacional Asesor sobre Cambio Global"/>
        <s v="Universidad de Chile"/>
        <s v="Universidad Católica de Chile"/>
        <s v="Centro de Información de Recursos Naturales (CIREN)"/>
        <s v="Pontificia Universidad Católica de Chile\Centro de Cambio Global UC"/>
        <s v="Centro de Cambio Global UC"/>
        <s v="Universidad de Talca"/>
        <s v="Universidad de Concepción"/>
        <s v="URBE Arquitectos"/>
        <s v="Subsecretaría de Desarrollo Regional y Administrativo"/>
        <s v="Gobierno Regional Maule"/>
        <s v="Gobierno de Chile"/>
        <s v="Subsecretaría de Desarrollo Regional y Administrativo (SUBDERE)"/>
        <s v="Servicio Nacional de Turismo Chile"/>
        <s v="Fundación para la Innovación Agraria"/>
        <s v="Municipalidad"/>
        <s v="-"/>
        <s v="Augusto Schultz"/>
        <s v="ALAMOS Y PERALTA. INGENIEROS CONSULTORES"/>
        <s v="DIRECCIÓN DE PLANEAMIENTO"/>
        <s v="CONIC BF INGENIEROS CIVILES CONSULTORES LTDA"/>
        <s v="KRAL CONSULTORES LIMITADA"/>
        <s v="AC INGENIEROS CONSULTORES LTOA, Ayala Cabrera y Asociados Uda"/>
        <s v="Ministerio Interior"/>
        <s v="Dirección Meteorológica de Chile"/>
        <s v="Patricio Alejandro González Loyola"/>
        <s v="RODHOS ASESORÍAS Y PROYECTOS LTDA"/>
        <s v="FAO/Ministerio de Agricultura"/>
        <s v="Municipalidad Longaví"/>
        <s v="Claudia Paola Villarroel"/>
        <s v="ONEMI-SHOA"/>
        <s v="Municipalidad Chanco"/>
        <s v="Municipalidad Cauquenes"/>
        <s v="Municipalidad Parral"/>
        <s v="Municipalidad Linares"/>
        <s v="Municipalidad Pellhué"/>
        <s v="Municipalidad Talca"/>
        <s v="CEDEC Ltda"/>
        <s v="Ricardo Edwars"/>
        <s v="FIGUEIREDO FERRAZ Consultoría e Ingeniería de Proyecto Ltda."/>
        <s v="CONIC-BF Ingenieros Civiles Consultores"/>
        <s v="EPS Ingeniería y Consultoría"/>
        <s v="JULIO SANDOVAL JERIA"/>
        <s v="Prisma Ingeniería Ltda."/>
        <s v="SIGA Ingeniería y Consultoría S.A."/>
        <s v="PROCIVIL INGENIERIA LTDA."/>
        <s v="AQUATERRA INGENIEROS LTDA"/>
        <s v="Consultoría Luis Arrau del Canto"/>
        <s v="División de Estudios y desarrollo"/>
        <s v="Dirección de Obras Hidráulicas"/>
        <s v="ARRAU INGENIERÍA E.I.R.L."/>
        <s v="TIPSA Chile"/>
        <s v="Sebastián Bonelli I."/>
        <s v="ERST R. HAJEK"/>
        <s v="Ministerio de Agricultura"/>
        <s v="CODEFF"/>
        <s v="CONAMA-CONAF-SAG-INIA-DGA-SERNAPESCA-UTAL-UCM"/>
        <s v="CENTRO DE ECOLOGIA APLICADA LTDA."/>
        <s v="MMA"/>
        <s v="ENDESA CHILE"/>
        <s v="GISMA CONSULTORES"/>
        <s v="DICTUC (Pontificia Universidad Católica)"/>
        <s v="Sara Larraín y Pamela Poo - Chile Sustentable"/>
        <s v="Departamento de Conservación y Protección de Recursos Hídricos"/>
        <s v="Servicio Nacional de Geología y Minería"/>
        <s v="LOBOS G, VIDAL M, CORREA C, LABRA A, DÍAZ - PÁEZ H, CHARRIER A, RABANAL F, DÍAZ S &amp;_x000a_TALA C."/>
        <s v="Ministerio de Medio Ambiente"/>
        <s v="Fundaccion Terram"/>
        <s v="Ministerio del Medio Ambiente"/>
        <s v="Superintendencia de Servicios Sanitarios"/>
        <s v="Francisco Javier Riestra Miranda"/>
        <s v="Patricio Pliscoff Varas"/>
        <s v="Directorio y Observatorio de Residuos de Chile"/>
        <s v="Servicio de Evaluación Ambiental (SEA)"/>
        <s v="INE"/>
        <s v="Ministerio de Obras publicas"/>
        <s v="Néstor Cabas Monje"/>
        <s v="FIGUEIREDO FERRAZ Consultoría e Ingeniería de Proyecto Ltda"/>
        <s v="RODHOS ASESORIAS Y PROYECTOS LTDA"/>
        <s v="Direccion Regional de Maule Departamento administracion de RH"/>
        <s v="LUIS ARRAU DEL CANTO"/>
        <s v="Dirección Regional de Planeamiento"/>
        <s v="Francisco José Canessa Díaz"/>
        <s v="Daniela Paz Rodrieguez"/>
        <s v="Universidad Católica/TECO Group/Ministerio de Energia"/>
        <s v="Dirección General de Aguas"/>
        <s v="ODEPA"/>
        <s v="Erik Muñoz Henriquez"/>
        <s v="RIO LONGAVI LTDA"/>
        <s v="IdeaConsulturo"/>
        <s v="GUAIQUIVILO CONSULTORÍA PROFESIONAL"/>
        <m u="1"/>
      </sharedItems>
    </cacheField>
    <cacheField name="Mandante" numFmtId="0">
      <sharedItems containsBlank="1" count="55">
        <s v="Comisión Nacional de Riego (CNR)"/>
        <s v="Dirección General de Aguas (DGA)"/>
        <s v="Revista Interamericana de Ambiente y Turismo Volumen 6"/>
        <s v="Gobierno de Chile"/>
        <s v="CONAMA/ODEPA"/>
        <s v="Banco Interamericano de Desarrollo (BID)"/>
        <s v="CORFO"/>
        <s v="Ministerio de Medio Ambiente / PENUD"/>
        <s v="-"/>
        <s v="Ministerio de Medio Ambiente"/>
        <s v="Gobierno Regional Maule"/>
        <s v="MINVU Regional del Maule"/>
        <s v="Subsecretaría de Desarrollo Regional y Administrativo (SUBDERE)"/>
        <s v="Servicio Nacional de Turismo Chile"/>
        <s v="Ministerio de Agricultura"/>
        <s v="Municipalidad"/>
        <s v="Departamento de Hidrología. DGA"/>
        <s v="Ministerio de Obras Públicas"/>
        <s v="Ministerio Interior"/>
        <s v="Dirección Meteorológica de Chile"/>
        <s v="Escuela de Ingeniería Forestal"/>
        <s v="FAO/Ministerio de Agricultura"/>
        <s v="Municipalidad Longaví"/>
        <s v="Universidad de Chile"/>
        <s v="Gobernación Provincial de Curicó"/>
        <s v="ONEMI"/>
        <s v="Municipalidad Chanco"/>
        <s v="Gobernación Provincial"/>
        <s v="Municipalidad Cauquenes"/>
        <s v="Municipalidad Parral"/>
        <s v="Municipalidad Linares"/>
        <s v="Municipalidad Pellhué"/>
        <s v="Municipalidad Talca"/>
        <s v="Dirección de Obras Hidráulicas (DOH)"/>
        <s v="CENTRO UC. CAMBIO GLOBAL"/>
        <s v="Agencia Internacional para el desarrollo"/>
        <s v="CODEFF"/>
        <s v="CONAMA"/>
        <s v="ENDESA CHILE"/>
        <s v="Ministerio de Obras Públicas. Dirección General de Aguas"/>
        <s v="OCEDE"/>
        <s v="Chile Sustentable"/>
        <s v="Servicio Nacional de Geología y Minería"/>
        <s v="Superintendencia de Servicios Sanitarios"/>
        <s v="Diplomado Gestión del Agua y el Ambiente, Facultad de Ciencias Agronómicas de la Universidad de Chile."/>
        <s v="Directorio y Observatorio de Residuos de Chile "/>
        <s v="Ministerio de Obras Publicas"/>
        <s v="Dirección General de Aguas. Región del Maule"/>
        <s v="Universidad Austral de Chile"/>
        <s v="Ministerio de Energia"/>
        <s v="Dirección General de Aguas"/>
        <s v="ODEPA"/>
        <s v="Revista Interamericana de Ambiente y Turismo"/>
        <s v="SUBSECRETARÍA DE AGRICULTURA"/>
        <m u="1"/>
      </sharedItems>
    </cacheField>
    <cacheField name="Temática" numFmtId="0">
      <sharedItems count="9">
        <s v="Calidad del Agua"/>
        <s v="Cambio Climático"/>
        <s v="Desarrollo Territorial"/>
        <s v="Estaciones Hidrométricas"/>
        <s v="Eventos Extremos"/>
        <s v="Infraestructura Hidráulica"/>
        <s v="Medio Ambiente"/>
        <s v="Recursos Hídricos"/>
        <s v="SilvoAgroPecuario"/>
      </sharedItems>
    </cacheField>
    <cacheField name="Ámbito territorial" numFmtId="0">
      <sharedItems containsBlank="1" count="12">
        <s v="Regional"/>
        <s v="Nacional"/>
        <s v="Cuenca Mataquito"/>
        <s v="Cuenca Maule"/>
        <s v="Subcuenca del Maule"/>
        <s v="Comunal"/>
        <s v="Provincial"/>
        <s v="Municipal"/>
        <s v="Subcuenca del Mataquito"/>
        <s v="Cuencas Costeras"/>
        <s v="Comuna Pencahue"/>
        <m u="1"/>
      </sharedItems>
    </cacheField>
    <cacheField name="Resumen" numFmtId="0">
      <sharedItems containsBlank="1" longText="1"/>
    </cacheField>
    <cacheField name="Información relevante para el Plan" numFmtId="0">
      <sharedItems containsBlank="1" longText="1"/>
    </cacheField>
    <cacheField name="Citado en Informe" numFmtId="0">
      <sharedItems containsBlank="1"/>
    </cacheField>
    <cacheField name="Nº Serie DGA (SEB, SIT, SDT) " numFmtId="0">
      <sharedItems containsBlank="1" containsMixedTypes="1" containsNumber="1" containsInteger="1" minValue="223" maxValue="223"/>
    </cacheField>
    <cacheField name="Archivo"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scar Romera Martinez" refreshedDate="42530.560958680559" createdVersion="4" refreshedVersion="4" minRefreshableVersion="3" recordCount="173">
  <cacheSource type="worksheet">
    <worksheetSource ref="E1:R174" sheet="RelDocs"/>
  </cacheSource>
  <cacheFields count="14">
    <cacheField name="Referencia" numFmtId="0">
      <sharedItems/>
    </cacheField>
    <cacheField name="Codigo" numFmtId="0">
      <sharedItems/>
    </cacheField>
    <cacheField name="ID" numFmtId="165">
      <sharedItems containsSemiMixedTypes="0" containsString="0" containsNumber="1" containsInteger="1" minValue="5" maxValue="280"/>
    </cacheField>
    <cacheField name="Tipo de documento" numFmtId="0">
      <sharedItems count="9">
        <s v="Estudio o Informe Técnico"/>
        <s v="Plan, Política, Programa"/>
        <s v="Artículo Técnico"/>
        <s v="Presentación"/>
        <s v="Catastro"/>
        <s v="Tesis"/>
        <s v="Proyecto de Ingeniería"/>
        <s v="Estudio" u="1"/>
        <s v="Informe Técnico" u="1"/>
      </sharedItems>
    </cacheField>
    <cacheField name="Título" numFmtId="0">
      <sharedItems/>
    </cacheField>
    <cacheField name="Año" numFmtId="0">
      <sharedItems containsBlank="1" containsMixedTypes="1" containsNumber="1" containsInteger="1" minValue="1984" maxValue="2016"/>
    </cacheField>
    <cacheField name="Autor" numFmtId="0">
      <sharedItems/>
    </cacheField>
    <cacheField name="Mandante" numFmtId="0">
      <sharedItems/>
    </cacheField>
    <cacheField name="Temática" numFmtId="0">
      <sharedItems count="9">
        <s v="Calidad del Agua"/>
        <s v="Cambio Climático"/>
        <s v="Desarrollo Territorial"/>
        <s v="Estaciones Hidrométricas"/>
        <s v="Eventos Extremos"/>
        <s v="Infraestructura Hidráulica"/>
        <s v="Medio Ambiente"/>
        <s v="Recursos Hídricos"/>
        <s v="SilvoAgroPecuario"/>
      </sharedItems>
    </cacheField>
    <cacheField name="Ámbito territorial" numFmtId="0">
      <sharedItems/>
    </cacheField>
    <cacheField name="Resumen" numFmtId="0">
      <sharedItems containsBlank="1" longText="1"/>
    </cacheField>
    <cacheField name="Información relevante para el Plan" numFmtId="0">
      <sharedItems containsBlank="1" longText="1"/>
    </cacheField>
    <cacheField name="Citado en Informe" numFmtId="0">
      <sharedItems containsBlank="1"/>
    </cacheField>
    <cacheField name="Nº Serie DGA (SEB, SIT, SDT) " numFmtId="0">
      <sharedItems containsBlank="1" containsMixedTypes="1" containsNumber="1" containsInteger="1" minValue="223" maxValue="22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3">
  <r>
    <x v="0"/>
    <s v="CA"/>
    <n v="10"/>
    <x v="0"/>
    <x v="0"/>
    <x v="0"/>
    <x v="0"/>
    <x v="0"/>
    <x v="0"/>
    <x v="0"/>
    <s v="Efectúa un ordenamiento y procesamiento de toda la información de calidad de aguas, disponible en el Banco Nacional de Aguas y en el Laboratorio Ambiental de la DGA, desde 1980 hasta la fecha, representando gráficamente la estadística hidroquímica nacional._x000a_Presenta los resultados obtenidos correspondiente a la VII Región."/>
    <s v="Información relevante en el análisis de calidad da agua en la cuenca del Río Maule y Río Mataquito. Caracterización físico-química. "/>
    <s v="Si"/>
    <m/>
    <s v="CA010_AnalisisRedCalidadAguasTerrestres_1994.pdf"/>
  </r>
  <r>
    <x v="1"/>
    <s v="CA"/>
    <n v="30"/>
    <x v="0"/>
    <x v="1"/>
    <x v="1"/>
    <x v="1"/>
    <x v="0"/>
    <x v="0"/>
    <x v="1"/>
    <s v="Se resumen las propuestas realizadas en relación al mejoramiento de calidad de aguas de riego. En cuanto al contenido, puede consideras básico para expertos en el sector pero está destinado a personal de rubro agrícola. Contempla nociones generales sobre la calidad de aguas de Riego, instrucciones de la metodología para la determinación de calidad hídrica mediante comunidades Biológicas en Chile, estrategias de control de eutrofización de aguas de riego, consideración sobre la Metodología para la determinación  de la calidad de agua mediante comunidades Biológicas en la Cuenca de Rio Maipo"/>
    <s v="Información de relevante para el análisis de calidad de aguas en el regadío específicamente. Estrategias de Control de eutrofización"/>
    <s v="Si"/>
    <m/>
    <s v="CA030_mejoramiento calidad de aguas_2003.pdf"/>
  </r>
  <r>
    <x v="2"/>
    <s v="CA"/>
    <n v="40"/>
    <x v="0"/>
    <x v="2"/>
    <x v="2"/>
    <x v="2"/>
    <x v="1"/>
    <x v="0"/>
    <x v="2"/>
    <s v="El estudio se centra en 7 cauces: río Mataquito,  río Teno, río Lontué, río Colorado, río Claro, río Patos de San Pedro y estero Upeo._x000a_Incluye una descripción general de la cuenca (sistema físico natural, flora y fauna, sistemas humanos, y usos del suelo), caracteriza el régimen hidrológico de cada uno de ellos en base a los caudales mensuales y la calidad del agua según diferentes parámetros (conductividad eléctrica, DBO5, oxígeno disuelto, pH, sólidos en suspensión y coliformes fecales) y el contenido de diferentes elementos (sulfatos, cobre, cromo, hierro, manganeso, molibdeno, aluminio)"/>
    <s v="Información relevante para el diagnóstico de calidad de aguas en la Cuenca del Mataquito tales como información fluviométricas, descargas a cursos de Agua y datos de monitoreo."/>
    <s v="No"/>
    <m/>
    <s v="CA040_DiagnClasifCursosAguaCalidadMataquito_2004.pdf"/>
  </r>
  <r>
    <x v="3"/>
    <s v="CA"/>
    <n v="45"/>
    <x v="0"/>
    <x v="3"/>
    <x v="2"/>
    <x v="2"/>
    <x v="1"/>
    <x v="0"/>
    <x v="2"/>
    <s v="Establece un procedimiento para clasificar los cursos de agua superficiales de acuerdo a las Instrucciones para la dictación de Normas Secundarias de Calidad Ambiental para Aguas Continentales Superficiales, contenidas en el Instructivo_x000a_Presidencial,  como también su aplicación en las cuencas prioritarias del país.  _x000a_Los objetivos específicos del estudio, en el marco de las cuencas seleccionadas, son:_x000a_• Identificar los factores que inciden o puedan incidir en el futuro en la calidad del agua;_x000a_• Establecer la calidad natural de cursos de agua; _x000a_• Caracterizar la calidad actual y su variabilida espacial y temporal_x000a_• Caracterizar usos actuales y futuros in situ y extractivos_x000a_• Establecer un índice de cumplimiento de calidad objetivo I-2_x000a_• Definir procedimientos para el establecimiento de la zona de dilución (zonas de mezcla o de exclusión), y aplicar a la situación actual de los cursos en estudio._x000a_• Identificar los cursos de agua que estarán bajo incumplimiento de norma_x000a_• Diseñar un Plan de Monitoreo Estándar_x000a_• Elaborar un Informe Público sobre la calidad de los cursos de agua."/>
    <s v="información relevante para el diagnóstico de calidad de aguas como herramienta de información geográfica( ejes de los cuaces), segmentación según informe; factores que inciden en  la calidad del agua; y otros. "/>
    <s v="No"/>
    <m/>
    <s v="CA045_DiagnClasifCursosAguaCalidadInformeFinal.pdf"/>
  </r>
  <r>
    <x v="4"/>
    <s v="CA"/>
    <n v="50"/>
    <x v="0"/>
    <x v="4"/>
    <x v="2"/>
    <x v="2"/>
    <x v="1"/>
    <x v="0"/>
    <x v="3"/>
    <s v="El estudio se centra en varios cauces de la cuenca del Maule: río Maule, río Claro-Talca, río Claro-embalse Colbún, río Lircay, río Loncomilla,  río Ancoa, río Cauquenes, río Perquilauquén, estero Curipeumo, río Purapel, río Longaví, río Achibueno, río Putagán, estero Los Puercos, río Melado._x000a_Incluye una descripción general de la cuenca (sistema físico natural, flora y fauna, sistemas humanos, y usos del suelo), caracteriza el régimen hidrológico de cada uno de ellos en base a los caudales mensuales y la calidad del agua según diferentes parámetros (conductividad eléctrica, DBO5, oxígeno disuelto, pH, sólidos en suspensión y coliformes fecales) y el contenido de diferentes elementos (sulfatos, cobre, cromo, hierro, manganeso, molibdeno, aluminio)"/>
    <s v="También contiene información relevante para el diagnóstico de demanda del recursos como los uso de agua por cuenca."/>
    <s v="Si"/>
    <m/>
    <s v="CA050_DiagnClasifCursosAguaCalidadMaule_2004.pdf"/>
  </r>
  <r>
    <x v="5"/>
    <s v="CA"/>
    <n v="55"/>
    <x v="0"/>
    <x v="5"/>
    <x v="3"/>
    <x v="3"/>
    <x v="0"/>
    <x v="0"/>
    <x v="2"/>
    <s v="Estudio que tiene como objetivo general determinar el estado actual de contaminación de los acuíferos de las Cuencas de Huasco y Mataquito, producto de la actividad agrícola y otras fuentes, y analizar ante diversos escenarios de desarrollo y explotación, el comportamiento del sistema subterráneo y los efectos generados sobre los pozos existentes, ya sea de riego como de agua potable._x000a_Incluye colección de diferentes planos temáticos de las cuencas del río Huasco (12 planos)  y del río Mataquito (16 planos), a escalas varias (1:100.000; 1:150.000 y 1:250.000) "/>
    <s v="Volumen 6 : Cuenca de Mataquito, Cuenca del Maule."/>
    <s v="Si"/>
    <m/>
    <s v="CA055_CalidadAguaSubtHuascoMataquito_2006.zip"/>
  </r>
  <r>
    <x v="6"/>
    <s v="CA"/>
    <n v="60"/>
    <x v="1"/>
    <x v="6"/>
    <x v="4"/>
    <x v="4"/>
    <x v="0"/>
    <x v="0"/>
    <x v="0"/>
    <s v="El objeto del programa es contribuir a la protección de la calidad de los recursos hídricos del país, a través de la capacitación de las organizaciones de regantes y sus usuarios, para que puedan gestionar la calidad de sus aguas de riego"/>
    <s v="Información relevante en el análisis de calidad da agua y líneas de estrategia de gestión de la cuenca del Río Maule. Además contiene información relevante para la caracterización turística de la región. "/>
    <s v="Si"/>
    <m/>
    <s v="CA060_ProgramaGestiondelaCalidaddelAgua_2009.pdf"/>
  </r>
  <r>
    <x v="7"/>
    <s v="CA"/>
    <n v="70"/>
    <x v="2"/>
    <x v="7"/>
    <x v="5"/>
    <x v="5"/>
    <x v="2"/>
    <x v="0"/>
    <x v="0"/>
    <s v="El objetivo de este trabajo es analizar la contaminación del agua en la séptima y octava región de Chile, explicando sus consecuencias, las enfermedades que se producen, los mayores contaminantes, entre otros. Además de especificar los índices de consumo de agua en Chile. El trabajo fue realizado a través de una revisión bibliográfica de fuentes secundarias que se relacionaban con el tema de la contaminación hídrica. Se concluye que la contaminación del agua provoca enfermedades y daños irreversibles para el ser humano y para el medio ambiente."/>
    <s v="Información relevante en el análisis de calidad da agua sobre la contaminación de agua en la séptima región."/>
    <s v="Si"/>
    <m/>
    <s v="CA070_ContamAguaMaule_2010.pdf"/>
  </r>
  <r>
    <x v="8"/>
    <s v="CA"/>
    <n v="80"/>
    <x v="0"/>
    <x v="8"/>
    <x v="6"/>
    <x v="6"/>
    <x v="1"/>
    <x v="0"/>
    <x v="1"/>
    <s v="El objetivo general del estudio es reformular la red de calidad de aguas superficiales y subterráneas de la DGA a través del análisis crítico de los datos históricos. _x000a_El informe da cuenta del diagnóstico de la Red de Calidad de Aguas actual, a partir de un análisis estadístico de las series de datos de monitoreo y de las características actuales del territorio nacional a nivel de cuencas hidrográficas; y da una propuesta de reformulación de la Red de Calidad de Aguas, donde se establecen los criterios generales y comunes para definir las estaciones, parámetros y frecuencia de monitoreo en todo el territorio nacional continental."/>
    <s v="Información relevante en el análisis de calidad da agua superficial  y subterránea que contiene un análisis de la data histórica de calidad de aguas de la DGA a nivel de Subcuenca."/>
    <s v="Si"/>
    <s v="SIT 337"/>
    <s v="CA080_AnalisisRedCalidadSupSubtDGA_2014.zip"/>
  </r>
  <r>
    <x v="9"/>
    <s v="CC"/>
    <n v="5"/>
    <x v="1"/>
    <x v="9"/>
    <x v="3"/>
    <x v="7"/>
    <x v="3"/>
    <x v="1"/>
    <x v="1"/>
    <s v="Comprende una sección (1) de Diagnóstico y Justificación, en la que se presenta una reseña de la problemática ambiental asociada al cambio climático, incluidas las posibles consecuencias para Chile así como las oportunidades que ofrece la implementación de la Convención Marco de las Naciones Unidas sobre Cambio Climático y su  Protocolo de Kyoto; una sección (2) sobre los Ejes de la Estrategia y una sección (3) que contiene los Objetivos por cada eje propuesto"/>
    <s v="Información relevante para el diagnosticó de oferta y demanda hídrica además de diagnóstico ambiental para considerar el cambio climático dentro de estos apartados"/>
    <s v="No"/>
    <m/>
    <s v="CC005_EstrNAcionCC_2006.pdf"/>
  </r>
  <r>
    <x v="10"/>
    <s v="CC"/>
    <n v="6"/>
    <x v="0"/>
    <x v="10"/>
    <x v="3"/>
    <x v="8"/>
    <x v="4"/>
    <x v="1"/>
    <x v="1"/>
    <s v="Analiza el clima observado durante la parte final del siglo XX y su proyección hacia fines del presente siglo, estimando escenarios climáticos para diferentes regiones de Chile en el periodo 2071-2100, asociados a un cambio climático global resultante de un incremento sostenido de los gases de efecto invernadero."/>
    <s v="Información relevante para el diagnosticó de oferta y demanda hídrica además de diagnóstico ambiental para considerar el cambio climático dentro de estos apartados"/>
    <s v="No"/>
    <m/>
    <s v="CC006_VariabilidadClimaChile_2007.pdf"/>
  </r>
  <r>
    <x v="11"/>
    <s v="CC"/>
    <n v="10"/>
    <x v="0"/>
    <x v="11"/>
    <x v="7"/>
    <x v="8"/>
    <x v="4"/>
    <x v="1"/>
    <x v="1"/>
    <s v="Se presenta un análisis de la vulnerabilidad del sector agrícola frente al escenario de Cambio Climático A2 al año 2040. Los impactos de los cambios climáticos sobre la productividad de estos recursos, fueron determinados a través del modelo SIMPROC (Simulador de la Productividad de Cultivos). Para el sector agrícola se modeló el rendimiento de cultivos tanto en riego como secano, de maíz, trigo, papa, frejol y remolacha; y de frutales (vides, manzano, duraznos y naranjos). En el sector forestal se modeló la productividad de pino y eucalipto, y para determinar los impactos en el sector ganadero, se modeló la productividad de praderas. En una segunda parte, se resumen los resultados de los informes de los sectores recursos hídricos y edáficos para implementar los impactos globales de estos tres sectores sobre el ambiente físico."/>
    <s v="Información relevante para el análisis de  cambio climático, determinación de la influencia de la Niña en el territorio. "/>
    <s v="Si"/>
    <m/>
    <s v="CC010_VulneraSilvoAgroPecCambioClim_2008.pdf"/>
  </r>
  <r>
    <x v="12"/>
    <s v="CC"/>
    <n v="20"/>
    <x v="0"/>
    <x v="12"/>
    <x v="7"/>
    <x v="8"/>
    <x v="4"/>
    <x v="1"/>
    <x v="4"/>
    <s v="En este informe se aborda el impacto sobre los recursos hídricos futuros de una poblaación mundial en continuo crecimiento (escenario A2 definido por el Grupo Intesgubernamenal de Expertos sobre Cambi Climático). El impacto que tendrá en la escorrentía y disponibilidad del recurso frente a los posibles cambios de temperatura, evaporación y precipitación, correspondientes a este escenario A2, se cuantifica mediante la calibración de modelos de simulación hidrológica en nueve cuencas chilenas situadas entre la IV y la IX Región . Este análisis se enfoca por cuencas (nueve cuencas, nueve modelos de simulación)."/>
    <s v="Información relevante para el análisis del cambio climático, vulnerabilidad del sector silvoagropecuario en San Miguel."/>
    <s v="Si"/>
    <m/>
    <s v="CC020_VulneraRHCambClimPerquilaquen_2008.pdf"/>
  </r>
  <r>
    <x v="13"/>
    <s v="CC"/>
    <n v="30"/>
    <x v="0"/>
    <x v="13"/>
    <x v="5"/>
    <x v="9"/>
    <x v="5"/>
    <x v="1"/>
    <x v="1"/>
    <s v="El cambio climático presenta importantes desafíos tanto en la adaptación a sus impactos, como en la mitigación de las emisiones que lo provocan. En el presente estudio se revisan los impactos que el fenómeno generaría en Chile, las opciones de mitigación de emisiones más eficientes, los desafíos que estos implican y se analiza el contexto institucional en que se desarrollan, generando además propuestas, lo que permitirá la elaboración de estrategias concretas para enfrentar el cambio climático en Chile._x000a_Para proyectar los impactos futuros del cambio climático en Chile se utilizaron dos escenarios de emisiones mundiales de GEI. El primero representa un escenario alto en emisiones, que constituye un futuro sin modificar los comportamientos actuales y el_x000a_segundo representa un futuro donde las emisiones son más moderadas. Las proyecciones indican, para ambos escenarios, un alza en las temperaturas medias, así como una disminución de las precipitaciones en gran parte de la superficie nacional."/>
    <s v="Información relevante para el análisis del cambio climático déficit hídrico. "/>
    <s v="Si"/>
    <m/>
    <s v="CC030_DiagnósticoCambioCli_2010.pdf"/>
  </r>
  <r>
    <x v="14"/>
    <s v="CC"/>
    <n v="40"/>
    <x v="0"/>
    <x v="14"/>
    <x v="5"/>
    <x v="10"/>
    <x v="6"/>
    <x v="1"/>
    <x v="0"/>
    <s v="Elaboración de la cartografía de erosión potencial y actual de suelos a nivel semidetallado 1:50.000 y generalizado a escala 1:250.000 en todo el país, utilizando técnicas de geomática, teledetección y SIG"/>
    <s v="Información relevante para el análisis del cambio climático, erosión actual y potencial."/>
    <s v="Si"/>
    <m/>
    <s v="CC040_ErosionSuelosChile_2010.pdf"/>
  </r>
  <r>
    <x v="15"/>
    <s v="CC"/>
    <n v="60"/>
    <x v="1"/>
    <x v="15"/>
    <x v="8"/>
    <x v="11"/>
    <x v="7"/>
    <x v="1"/>
    <x v="1"/>
    <s v="Determina los impactos sociales probables a mediano plazo del cambio climático en Chile en el sector silvoagropecuario. Los resultados de esta consultoría servirán para alimentar la estrategia de adaptación que desarrollará el Ministerio de Agricultura, con apoyo del Ministerio de Medio Ambiente, para este sector."/>
    <s v="Información relevante para el diagnosticó de oferta y demanda hídrica además de diagnóstico ambiental para considerar el cambio climático dentro de estos apartados"/>
    <s v="No"/>
    <m/>
    <s v="CC060_ EvaluacImpactoSocialCambClim_2011.pdf"/>
  </r>
  <r>
    <x v="16"/>
    <s v="CC"/>
    <n v="80"/>
    <x v="1"/>
    <x v="16"/>
    <x v="9"/>
    <x v="11"/>
    <x v="8"/>
    <x v="1"/>
    <x v="1"/>
    <s v="Busca integrar protocolos y parámetros que incluyan la incertidumbre del cambio climático dentro de la evaluación de políticas y proyectos de riego,"/>
    <s v="Información relevante para el diagnosticó de oferta y demanda hídrica además de diagnóstico ambiental para considerar el cambio climático dentro de estos apartados"/>
    <s v="No"/>
    <m/>
    <s v="CC080_PoliticaAdapCambClimAgricRiego_2012.pdf"/>
  </r>
  <r>
    <x v="17"/>
    <s v="CC"/>
    <n v="90"/>
    <x v="1"/>
    <x v="17"/>
    <x v="10"/>
    <x v="12"/>
    <x v="9"/>
    <x v="1"/>
    <x v="1"/>
    <s v="El Plan de Adaptación Nacional (PAN) está compuesto de tres partes. La primera parte tiene un carácter genérico y conceptual en la cual se busca aclarar conceptos básicos relacionados a la adaptación y al cambio climático y presentar el rol que tiene el gobierno en la tarea de adaptación. En la segunda parte se entrega información de contexto con respecto a los posibles cambios climáticos esperados para el país al igual que los posibles impactos y vulnerabilidades de los distintos sectores. Finalmente, la tercera parte presenta la estructura del PAN propiamente tal, incluyendo la institucionalidad de la adaptación al cambio climático desde el Estado, lineamientos sectoriales, y de implementación del PAN entre otros aspectos claves."/>
    <s v="Información relevante para el diagnosticó de oferta y demanda hídrica además de diagnóstico ambiental para considerar el cambio climático dentro de estos apartados"/>
    <s v="No"/>
    <m/>
    <s v="CC090_PlanNacAdapCambClim_2013.pdf"/>
  </r>
  <r>
    <x v="18"/>
    <s v="DT"/>
    <n v="10"/>
    <x v="0"/>
    <x v="18"/>
    <x v="11"/>
    <x v="13"/>
    <x v="10"/>
    <x v="2"/>
    <x v="0"/>
    <s v="Presenta los resultados del ejercicio de diagnóstico y prospectiva aplicado a la Región del Maule, desarrollado por el equipo de profesionales de la Universidad de Talca, como parte de los servicios encomendados por parte del Gobierno Regional, a través de su División de Desarrollo Regional (DDR)._x000a_Los indicadores IDH del PNUD sitúan a la Región como la de menor desarrollo regional, y a 25 de sus comunas en la mitad inferior del rango nacional; el ICORE (e ICR) ha situado históricamente al Maule entre las 4 regiones peor evaluadas en lo que respecta a los factores determinantes de la competitividad (entre los peor evaluados está el factor Gobierno) mejorando levemente este último año; por su parte, la CASEN ubica a la Región como la quinta de mayor proporción de pobres y con peor situación en vivienda. Los estudios temáticos por su parte, indican que la Región es la de mayor tasa de analfabetismo, con una salud con peores indicadores que el promedio país, y con un mercado laboral complejo marcado por la estacionalidad y mala distribución del ingreso. Los determinantes del desarrollo son variables causales que se pueden agrupar de acuerdo a los cinco subsistemas establecidos en la ERD 2000-2006, referidos principalmente a la economía regional; territorio, infraestructura y medio ambiente; aspectos sociales; y a la identidad, cultura y patrimonio. Además, de un nuevo determinante denominado gobernabilidad y gobernanza regional, representada a través del sistema público, el cual debe actuar como un catalizador del desarrollo."/>
    <s v="Información relevante para el análisis de planificación territorial como la visón actualizada del desarrollo territorial regional. Se define la imagen objetivo Maule 2020."/>
    <s v="Si"/>
    <m/>
    <s v="DT010_Informe de Diagnóstico y ProspectivaDT.pdf"/>
  </r>
  <r>
    <x v="19"/>
    <s v="DT"/>
    <n v="15"/>
    <x v="1"/>
    <x v="19"/>
    <x v="3"/>
    <x v="14"/>
    <x v="0"/>
    <x v="2"/>
    <x v="0"/>
    <s v="Su objetivo general fué organizar y capacitar comunidades de aguas, con el propósito de generar organizaciones modernas y participativas, capaces de mejorar la eficiencia en la distribución y utilización de sus recursos hídricos, y de los instrumentos de fomento al riego, como así también organizar y capacitar organizaciones territoriales que planifiquen el desarrollo productivo local en tres territorios del país. Objetivos específicos del Programa: Organizar y capacitar comunidades de aguas, con una metodología validada. Capacitar a monitores (profesionales y/o dirigentes) para desarrollar capacidades locales en cuanto a la transferencia de conocimientos sobre organizaciones de regantes. Contribuir a la formación y fortalecimiento de organizaciones territoriales de desarrollo productivo, a través de la transferencia de capacidades de gestión a dirigentes agrícolas locales. Sensibilizar sobre la problemática existente y las herramientas de solución en el marco del desarrollo de las comunidades de aguas y organizaciones territoriales; y establecer un sistema de coordinación, operación y gestión de las diferentes instituciones e instrumentos de apoyo a la capacitación y desarrollo de las comunidades de aguas y organizaciones de Desarrollo Territorial. Establecer un Programa de seguimiento y evaluar el cambio producido en la organización luego de recibir la capacitación a través de la metodología utilizada."/>
    <s v="Información relevante para el diagnóstico de los derechos de uso como el diagnostico a la organizaciones de usuarios del agua y la capacitación  y organización directa. Y también contiene información relevante a al análisis territorial con la capacitación a dirigentes agrícolas en desarrollo Territorial como el cuadro 7 y 8, proyectos de la Ley 18.450."/>
    <s v="No"/>
    <m/>
    <s v="DT015_ProgrOrganCapacComAgua_2006.pdf"/>
  </r>
  <r>
    <x v="20"/>
    <s v="DT"/>
    <n v="20"/>
    <x v="1"/>
    <x v="20"/>
    <x v="11"/>
    <x v="15"/>
    <x v="11"/>
    <x v="2"/>
    <x v="0"/>
    <s v="La actualización del PRDU de la Región del Maule, tiene como objetivo proveer de un marco de Referencia para orientar a largo plazo las actuaciones sectoriales públicas y privadas en el territorio, por medio de Estrategias referidas al espacio territorial, metas referenciales respecto al sistema urbano regional y normativas básicas respecto al suelo regional. Por otra parte, las estrategias están dirigidas a poner en valor todas las condiciones locales que resultan oportunidades para el desarrollo, dentro de un criterio de sustentabilidad. Es un instrumento de planificación territorial en los niveles Intercomunal y Comunal, bases para acuerdos sobre una agenda operativa que se relaciona con los instrumentos vecinos del mismo nivel. Considera el marco de los grandes principios de la seguridad de las personas y el medioambiente. Incorpora el uso de los Sistemas de Información Geográficos como un medio para actualizar y modernizar la modalidad de seguimiento, administración y actualización de las bases de datos e información relacionada con la gestión del desarrollo urbano y rural en la escala Regional, Intercomunal y Comunal y, como soporte al proceso de desarrollo del Plan."/>
    <s v="Información relevante para el análisis de planificación territorial con objetivos de desarrollo urbano y turístico de área ocupando las zonas de valor natural paisajístico existentes. "/>
    <s v="Si"/>
    <m/>
    <s v="DT020_PRDU_Maule_2007.pdf"/>
  </r>
  <r>
    <x v="21"/>
    <s v="DT"/>
    <n v="21"/>
    <x v="1"/>
    <x v="21"/>
    <x v="11"/>
    <x v="16"/>
    <x v="10"/>
    <x v="2"/>
    <x v="5"/>
    <s v="Se realiza una descripción del territorio en los ámbitos de recursos naturales infraestructura, recursos humanos, instituciones presentes, actividades económicas y las empresas.  Se integra una cartera de inversiones por subterritorio a nivel de perfil. Y se establece el Plan de gestión PMDT con el fortalecimiento de actores locales de las mesas, institucionalidad de las mesas, proceso de fortalecimiento de lo agentes públicos y ejecución de la cartera integrada."/>
    <s v="Información relevante para el diagnóstico territorial vinculado a los recursos hídricos ya sean como iniciativas o ejes estratégicos"/>
    <m/>
    <m/>
    <m/>
  </r>
  <r>
    <x v="22"/>
    <s v="DT"/>
    <n v="22"/>
    <x v="1"/>
    <x v="22"/>
    <x v="11"/>
    <x v="16"/>
    <x v="10"/>
    <x v="2"/>
    <x v="5"/>
    <s v="Resultados obtenidos durante el proceso de desarrollo de la consultoría, esto es, la Visión estratégica del desarrollo de los subterritorios vinculadas al desarrollo de sus principales actividades económicas (ejes productivos) validados por la comunidad, que podrán ser fortalecidas por inversiones en infraestructura rural, también consensuadas y validadas por los actores relevantes (públicos y privados), que fueron definidos y analizados por la consultora y validados a través de talleres con la comunidades en estudio. En este sentido, se presenta una cartera Integrada de proyectos en Infraestructura rural con o sin financiamiento PIRDT y de fomento productivo, cuya ejecución sin duda potenciará y desarrollará económica, productiva y socialmente a los habitantes del territorio en estudio, que son:_x000a_- Comuna de Pencahue,  Curepto y Empedrado_x000a_Entre los objetivos estratégicos se encuentran el fortalecimiento de actividad Hortícola, Turístico Rural , promoción de los viñedos, olivos, actividad apícola, ganadero, industria maderera, activación de la valorización de hogos silvestres, entre otros._x000a_Informe relevante para el diagnóstico territorial vinculado a los recursos hídricos determinando las iniciativas en el territorio relevantes para la formulación del Plan._x000a_"/>
    <s v="Información relevante para el diagnóstico territorial vinculado a los recursos hídricos ya sean como iniciativas o ejes estratégicos"/>
    <m/>
    <m/>
    <m/>
  </r>
  <r>
    <x v="23"/>
    <s v="DT"/>
    <n v="25"/>
    <x v="1"/>
    <x v="23"/>
    <x v="4"/>
    <x v="13"/>
    <x v="10"/>
    <x v="2"/>
    <x v="0"/>
    <s v="El resultado de este análisis es una Síntesis Territorial, que concluyó en la conformación de las Unidades Territoriales Homogéneas e identificó diferentes ideas fuerza como imagen objetivo."/>
    <s v="Información relevante para diferentes partes del diagnóstico técnico. Contiene información relevante para el análisis territorial vinculado al medio ambiente fomentando la planificación como instrumento. Integración territorial a largo plazo respetando dicha planificación con los cambios de gobierno e incorporar la gestión integrada de cuencas."/>
    <s v="No"/>
    <m/>
    <s v="DT025_EstrateRegionalDesarrllo_2009.pdf"/>
  </r>
  <r>
    <x v="24"/>
    <s v="DT"/>
    <n v="30"/>
    <x v="1"/>
    <x v="24"/>
    <x v="4"/>
    <x v="13"/>
    <x v="10"/>
    <x v="2"/>
    <x v="0"/>
    <s v="El  documento constituye un aporte conjunto de la Universidad de Talca y del Gobierno Regional, a una Política de Desarrollo Rural de la Región del Maule. Se sustenta en los lineamientos establecidos en la Estrategia Regional de Desarrollo 2020 (entregada a la comunidad hace un mes) como asimismo, en los aportes de sobre 300 actores relevantes de la región que participaron en 07 talleres territoriales, 01 seminario internacional, 02 talleres metodológicos y 53 entrevistas estructuradas. Los contenidos de ambas fuentes permitieron orientar este estudio requerido por el Gobierno Regional, bajo cuatro principios o ejes estratégicos estructurantes: i) Competitividad de la Economía Rural (CER); ii) Dimensión Social Rural: Calidad de Vida y Diversificación Laboral (DSR); iii) Medio Ambiente, Infraestructura y Territorio Rural (MAITR); iV) Gobernanza Rural (GR)._x000a_Para lo señalado, se aplicó la metodología de AHP o Proceso de Análisis Jerárquico, y que se vinculó con la matriz de impactos cruzados (método MIC MAC). Así se obtuvo la ponderación porcentual de cada eje y lineamientos, en virtud del cual la autoridad podrá tomar decisiones, asignar recursos y evaluar impacto en función del modelo de gestión diseñado para la presente política pública."/>
    <s v="Información relevante en el análisis de la situación ambiental, identificación del nivel ecocomico-social  con la conciencia sobre el medio natural. "/>
    <s v="Si"/>
    <m/>
    <s v="DT030_PropuPolitDesarRuralRegMau_2009.zip"/>
  </r>
  <r>
    <x v="25"/>
    <s v="DT"/>
    <n v="31"/>
    <x v="1"/>
    <x v="25"/>
    <x v="12"/>
    <x v="17"/>
    <x v="10"/>
    <x v="2"/>
    <x v="5"/>
    <s v="El territorio denominado Maule Sur, está compuesto por las comunas de Cauquenes, Chanco y Pelluhue, correspondiendo administrativamente a la provincia de Cauquenes. . A su vez este coincide con la asignación de territorio por parte de GTI – GORE Maule y a la zona identificada para la implementación del Programa de Infraestructura Rural para el Desarrollo Territorial, PIRDT – SUBDERE. El objetivo es reforzar atrevés de inversión pública y mejorar la situación actual tanto como crecimiento y desarrollo del territorio. Se incluye la cartera integrada de Proyectos según los ejes estratégicos."/>
    <s v="Información relevante para el diagnóstico territorial vinculado a los recursos hídricos ya sean como iniciativas o ejes estratégicos"/>
    <m/>
    <m/>
    <m/>
  </r>
  <r>
    <x v="26"/>
    <s v="DT"/>
    <n v="32"/>
    <x v="1"/>
    <x v="26"/>
    <x v="12"/>
    <x v="17"/>
    <x v="10"/>
    <x v="2"/>
    <x v="5"/>
    <s v="Identifica las necesidades de infraestructura, sustentadas en la posibilidad de contribuir a desarrollar potenciales productivos con una visión estratégica de los Subterritoiros y descripción de la cartera integrada de proyectos según beneficios y análisis de ejecución y estrategia. "/>
    <s v="Información relevante para el diagnóstico territorial vinculado a los recursos hídricos ya sean como iniciativas o ejes estratégicos"/>
    <m/>
    <m/>
    <m/>
  </r>
  <r>
    <x v="27"/>
    <s v="DT"/>
    <n v="40"/>
    <x v="1"/>
    <x v="27"/>
    <x v="8"/>
    <x v="18"/>
    <x v="3"/>
    <x v="2"/>
    <x v="1"/>
    <s v="Instrumento de Planificación  que engloba la idea socioeconómica con la física, supera la parcialidad del enfoque temático en la planificación sectorial y ampliar la reducida escala espacial del planeamiento municipal"/>
    <s v="Información relevante para el análisis de planificación territorial"/>
    <s v="Si"/>
    <m/>
    <s v="DT040_PROT_2011"/>
  </r>
  <r>
    <x v="28"/>
    <s v="DT"/>
    <n v="50"/>
    <x v="1"/>
    <x v="28"/>
    <x v="10"/>
    <x v="19"/>
    <x v="12"/>
    <x v="2"/>
    <x v="1"/>
    <s v="Esta guía es una herramienta que permitirá que los profesionales de los Gobiernos Regionales dedicados a la planificación del territorio, cuenten con un método de análisis del sistema de cuencas hidrográficas, en el marco de una visión sustentable del desarrollo. Este método permitirá que esta unidad territorial pueda ser considerada e integrada a una planificación regional."/>
    <s v="Información relevante para el diagnóstico en la zonificación de las zonas de estudio y relevante a un análisis territorial vinculado a las cuencas. Contiene información conceptual y metodología de análisis según componente de cuenca hidrográfica."/>
    <s v="No"/>
    <m/>
    <s v="DT050_GuiaZonifCuencasHidrog_2013.pdf"/>
  </r>
  <r>
    <x v="29"/>
    <s v="DT"/>
    <n v="55"/>
    <x v="1"/>
    <x v="29"/>
    <x v="6"/>
    <x v="17"/>
    <x v="10"/>
    <x v="2"/>
    <x v="0"/>
    <s v="El Plan tiene por objetivo  generar las condiciones que permitan gestionar de una manera más eficiente la planificación e inversión regional para avanzar hacia un desarrollo armónico y equitativo de los territorios en aspectos de desarrollo económico, social-cultural e infraestructura."/>
    <s v="Información relevante para el análisis de planificación territorial"/>
    <s v="Si"/>
    <m/>
    <s v="DT055_PlanRegGobierno2014-18_2014.pdf"/>
  </r>
  <r>
    <x v="30"/>
    <s v="DT"/>
    <n v="60"/>
    <x v="1"/>
    <x v="30"/>
    <x v="6"/>
    <x v="17"/>
    <x v="10"/>
    <x v="2"/>
    <x v="0"/>
    <s v="El PGTZR para la Región del Maule, concluye que a partir de la inversión en infraestructura realizada en el Plan Marco de Desarrollo Territorial, Territorios Cuenca del Mataquito, Talca Poniente, Embalse Ancoa y Maule Sur, se valida lo que se propuso al implementar el programa en cinco regiones de Chile en el año 2005, y se aprecia que a partir de este instrumento de planificación basado en el desarrollo de los territorios desde el punto de vista productivo el programa PIRDT aportó y abrió fuentes de financiamientos a sectores históricamente postergados, por presentar baja rentabilidad de inversión y alta dispersión de los habitantes de las localidades."/>
    <s v="Información relevante para el análisis de planificación territorial"/>
    <s v="Si"/>
    <m/>
    <s v="DT060_ProgrGestionTerrritZonasRezag_2014.pdf"/>
  </r>
  <r>
    <x v="31"/>
    <s v="DT"/>
    <n v="70"/>
    <x v="1"/>
    <x v="31"/>
    <x v="13"/>
    <x v="17"/>
    <x v="10"/>
    <x v="2"/>
    <x v="5"/>
    <s v="En el marco del Programa de Gestión Territorial para Zonas de Rezago, entre la que se encuentran estas cuatro comunas (Cauquenes, Chanco, Pellhué y Empedrado), el Plan propone una serie de iniciativas, proyectos e inversiones que implican recursos públicos o decisiones de asignación de recursos públicos para que, aquellas que sean de su competencia, sean aprobadas por el Gobierno Regional del Maule. El proceso se desarrolló concordada, participativa y progresivamente a través de las mesas público-privado-comunitarias temáticas y territorial, y discutido y afinado con el Intendente y demás autoridades regionales a través de la Mesa Técnica Regional._x000a_Previamente, en el estudio se realiza un análisis de las principales actividades económicas del territorio, los recursos y capacidades de su gente, las oportunidades de desarrollo y las situaciones de rezago que dificultan su desarrollo. Entre éstas destaca el déficit de abastecimiento de agua potable rural (APR), que se sitúa en este terrritorio en un 27%, frente al 5% de la Region VII, debido a la escasez de recursos hídricos y a la falta de infraestructura hidráulica. También se destaca la poca tecnificación de los sistemas de riego._x000a_Como metas para el año 2018, en cuanto al aprovechamiento de recursos hídricos,  se plantea incrementear en un 10% la superficie regable, reducir en un 25% los hogares abastecidos por camiones aljibes, y la construcción del embalse de Empedrado y el estudio de factibilidad y diseño del embase de Huedque."/>
    <s v="Información relevante para el diagnóstico territorial vinculado al recurso hídrico con conclusiones referidas a los APR, infraestructura hidráulica y mejoramiento y aplicación de zona de riego, como la tecnificación."/>
    <s v="No"/>
    <m/>
    <s v="DT070_PlanSecanoMauleSur_2015.pdf"/>
  </r>
  <r>
    <x v="32"/>
    <s v="DT"/>
    <n v="75"/>
    <x v="1"/>
    <x v="32"/>
    <x v="13"/>
    <x v="20"/>
    <x v="13"/>
    <x v="2"/>
    <x v="0"/>
    <s v="El documento se basa en el eje estructural en torno a los lineamientos planteados en el programa de Gobierno, que proponen el desafío de potencial de desarrollo turísticos  sustentable de las Áreas Silvestres Protegidas como las Siete Tazas; avanzar en establecimiento de Zonas de Interes Turistico._x000a_El Documento se rige en siete puntos que son antecedentes, diagnostico, demanda actual, definición de estrategia de acción regional y componentes del Plan_x000a_"/>
    <s v="Información relevante en el análisis Turístico de la región vinculado a los recursos hídricos como Lagos o áreas protegidas"/>
    <m/>
    <m/>
    <m/>
  </r>
  <r>
    <x v="33"/>
    <s v="DT"/>
    <n v="80"/>
    <x v="3"/>
    <x v="33"/>
    <x v="14"/>
    <x v="21"/>
    <x v="14"/>
    <x v="2"/>
    <x v="0"/>
    <s v="Tiene como objetivo general actualizar la Agenda de Innovación Agraria de la Región del Maule, con una perspectiva territorial y validación regional, que permita focalizar de mejor manera las futura intervenciones en temas de innovación agraria, tanto para el FIA como para otras agencias públicas y para agentes privados, con miras a fortalecer el desarrollo del sector silvo agropecuario local y regional, en un horizonte de mediano plazo (5años), considerando los instrumentos de orientación para el fomento y la innovación vigentes en la región para el sector agropecuario y forestal."/>
    <s v="Sin interés para el PMRH Maule"/>
    <s v="Si"/>
    <m/>
    <s v="DT080_Agen_Innov_Agraria_2016.pdf"/>
  </r>
  <r>
    <x v="34"/>
    <s v="DT"/>
    <n v="85"/>
    <x v="1"/>
    <x v="34"/>
    <x v="12"/>
    <x v="22"/>
    <x v="15"/>
    <x v="2"/>
    <x v="5"/>
    <s v=" "/>
    <s v="Información relevante para el diagnóstico territorial vinculado a los recursos hídricos ya sean como iniciativas o ejes estratégicos"/>
    <m/>
    <m/>
    <m/>
  </r>
  <r>
    <x v="35"/>
    <s v="DT"/>
    <n v="90"/>
    <x v="1"/>
    <x v="35"/>
    <x v="15"/>
    <x v="23"/>
    <x v="8"/>
    <x v="2"/>
    <x v="5"/>
    <s v="El Plan de Desarrollo Comunal (PLADECO) es un instrumento de planificación y gestión con el que cuenta la Organización Municipal, y su propósito es contribuir a una administración eficiente de las Comunas y promover las iniciativas y proyectos destinados a impulsar el progreso económico, social y cultural de sus habitantes._x000a_En el marco de las nuevas políticas para la descentralización del aparato del Estado, promoviendo la captación de recursos regionales y sectoriales. Las Municipalidades son la instancia más cercana a los ciudadanos de la comuna, y contribuyen un importante eslabón del sistema democrático, mejorando la forma de hacer gestión, desarrollando nuevas técnicas e incorporaciones de métodos y procedimientos acordes a la naturaleza de los fenómenos sociales, políticos y económicos. El PLADECO es un instrumento para toma de decisiones, cuyo propósito y alcance está pensado para que permita anticipar situaciones futuras, contribuya al debate comunal, constituya como una Guía para la acción, permita vincular las decisiones cotidianas y que sea eficaz herramienta de gestión."/>
    <s v="Información relevante para el análisis de planificación territorial en ámbito comunal."/>
    <s v="Si"/>
    <m/>
    <s v="DT090 Pladeco Rmaule.zip"/>
  </r>
  <r>
    <x v="36"/>
    <s v="EH"/>
    <n v="5"/>
    <x v="4"/>
    <x v="36"/>
    <x v="16"/>
    <x v="24"/>
    <x v="16"/>
    <x v="3"/>
    <x v="0"/>
    <s v="Datos de las captaciones de aguas subterráneas, con anotación de: sector, nº pozo, predio, propietario, constructor, metros perforados, caudal, nivel dinámico y estático, fecha de bombeo, uso del agua, análisis químicos, perfil estratigráfico. (No hay datos de coordenadas)"/>
    <s v="Sin interés para el PMRH: datos antiguos y sin coordenadas para situar puntos de agua.           "/>
    <s v="Si"/>
    <m/>
    <s v="EH005_CatastroPozos_1984.zip"/>
  </r>
  <r>
    <x v="37"/>
    <s v="EH"/>
    <n v="6"/>
    <x v="0"/>
    <x v="37"/>
    <x v="17"/>
    <x v="25"/>
    <x v="16"/>
    <x v="3"/>
    <x v="0"/>
    <s v="Memoria, Anexos y Planos (con localización de puntos de la red de control). Ámbito de 6 cuencas: Mataquito (con 3 subcuencas), Maule, Rapel, Costeras entre 6ª Región y Mataquito, Costeras entre Mataquito y Maule, Costeras entre Maule y 8ª Región. Datos de medidas de niveles dinámicos y estáticos y gráficos de evolución, fichas de pozos (53) de medida y datos de calidad del agua "/>
    <s v="Sin interés para el PMRH: datos antiguos de niveles estáticos/dinámicos y calidad del agua. Fichas de 53 puntos de agua. Los puntos están con coordenadas geográficas, nomenclatura de CIREN. (No se dispone del shp)"/>
    <s v="Si"/>
    <m/>
    <s v="EH005_CatastroPozos_1984.zip"/>
  </r>
  <r>
    <x v="38"/>
    <s v="EH"/>
    <n v="10"/>
    <x v="0"/>
    <x v="38"/>
    <x v="3"/>
    <x v="26"/>
    <x v="17"/>
    <x v="3"/>
    <x v="1"/>
    <s v="En este anexo se muestra el análisis que fuera realizado en dos cuencas específicas a objeto de investigar las necesidades de información que los regantes requieran de la Red Hidrométrica Nacional, y como ella puede serles útil en sus actividades diarias. Recopila las entrevistas a diferentes comunidades de usuarios, canalistas y juntas de vigilancia, realizadas con objeto de recabar información sobre el acceso al Derrecho de Agua y la gestión para la distribución del agua entre los diferentes usuarios."/>
    <s v="Información relevante para el diagnóstico de los derechos de agua según su venta; y contiene información de interés para el diagnóstico de red hidrométrica como el análisis detener información hidrometerológico a tiempo real."/>
    <s v="No"/>
    <m/>
    <s v="EH010_EvaluaciRedHidro_2006.pdf"/>
  </r>
  <r>
    <x v="39"/>
    <s v="EH"/>
    <n v="20"/>
    <x v="0"/>
    <x v="39"/>
    <x v="3"/>
    <x v="26"/>
    <x v="17"/>
    <x v="3"/>
    <x v="1"/>
    <s v="El Informe tiene como objetivo general una evaluación costo-beneficio de los servicios prestados por la Red Hidrométrica Nacional (RHN). Se presenta la metodología de análisis costo-beneficio utilizada en la evaluación de los programas de mejoramiento que se proponen, basada en considerar que el principal objetivo de la RHN es proveer estadísticas relativas a medición de caudales, temperaturas, etc., que son utilizadas en los procesos de toma de decisiones. Es así como se distinguieron las decisiones asociadas a inversión, operación (gestión) y mitigación de pérdidas, que se sirven de la información que provee la_x000a_red. Adicionalmente, se presenta la metodología utilizada para la evaluación de la red actual, que se basa en comparar el escenario de continuidad de operación de la red con el de no hacerlo. En este último caso, se dejaría de recolectar información, con la correspondiente pérdida de calidad estadística. En la práctica, se sugiere comparar las pérdidas de precisión en las variables de diseño en obras de infraestructura, versus los costos de seguir realizando las mediciones._x000a_Se propone un plan de mejoramiento para la RHN, específicamente en la Red Fluviométrica, Red Hidrometeorológica y la Red de Calidad de Aguas. Cada una de estas redes fue sometida a una revisión y análisis, considerando estudios existentes, criterios del consultor y experiencia internacional, de forma tal de definir ciertos mejoramientos específicos._x000a_Se presenta el análisis costo-beneficio y se analiza el aspecto institucional de la RHN, entregando alguna idea sobre cual pudiera ser una alternativa con relación a la actual operación en manos del Estado."/>
    <s v="Información relevante para el análisis de la red hidrométrica y balance hídrico"/>
    <s v="Si"/>
    <m/>
    <s v="EH020 Anal Fluviometrica_2006.pdf"/>
  </r>
  <r>
    <x v="40"/>
    <s v="EH"/>
    <n v="30"/>
    <x v="0"/>
    <x v="40"/>
    <x v="5"/>
    <x v="27"/>
    <x v="1"/>
    <x v="3"/>
    <x v="0"/>
    <s v="El objetivo central del presente trabajo es la formulación de una red de medición de_x000a_aguas subterráneas para la zona comprendida entre el río Mataquito (VII Región) y el río Maullín (X Región de Los Lagos). Los objetivos específicos del estudio son los siguientes: revisión de proposición de redes de aguas subterráneas de estudios anteriores; caracterización hidrogeológica general; identificación de requerimientos de información; proposición de red de aguas subterráneas; priorización de red oferta; proposición de recomendaciones._x000a_Incluye análisis de la geología regional, hidrogeología, un catastro de captaciones, definición de acuíferos y profundidad de niveles y dirección de escurrimiento"/>
    <s v="Información relevante para el análisis de la red hidrométrica, oferta hídrica superficial; y subterránea. Incluye información relevante para el análisis de insumos para la gestión hídrica y herramientas de análisis."/>
    <s v="Si"/>
    <n v="223"/>
    <s v="EH030_Mejora_ampliacion_red_Subt_2010.pdf"/>
  </r>
  <r>
    <x v="41"/>
    <s v="EH"/>
    <n v="40"/>
    <x v="0"/>
    <x v="41"/>
    <x v="10"/>
    <x v="28"/>
    <x v="1"/>
    <x v="3"/>
    <x v="0"/>
    <s v="Se incluye la caracterización de las estaciones vigentes con la finalidad de evaluar si la red permite obtener información para el otorgamiento de derechos, detectar fuentes contaminantes, obtener un balance hídrico de alguna cuenca en particular y si con la red se puede determinar o prever eventos extremos. Junto a la propuesta de red hidrométrica, se valorizarán las mejoras y la posible ampliación de ella._x000a_Se hace un análisis de la idoneidad de la ubicación de la estación en base al catastro realizado y otros antecedentes disponibles. Lo mismo se efectúa respecto de las variables medidas._x000a_Complementariamente, se recogen las necesidades de las oficinas Regionales de Emergencia para enfrentar eventos extremos en lo relacionado con las mediciones de las Red Hidrométrica."/>
    <s v="Contenido relevante en el análisis de Insumos para la Gestión Hídrica y Herramientas de Análisis, como modelo Hidrologico, MAGIC-Maule.Además el informe contiene información de interés en  hidrométrica. Se obtiene información para conocimiento de la evolución de la Red Hidrométrica, análisis sintético de la idoneidad de la red hidrométrica Incorpora datos de interés de estaciones de aguas subterráneas de la VII región. "/>
    <s v="Si"/>
    <m/>
    <s v="EH040_ANALISIS CRITICO_RedesHidrom_DGA_2013.pdf"/>
  </r>
  <r>
    <x v="42"/>
    <s v="EX"/>
    <n v="5"/>
    <x v="0"/>
    <x v="42"/>
    <x v="18"/>
    <x v="29"/>
    <x v="1"/>
    <x v="4"/>
    <x v="1"/>
    <s v="El objetivo de este estudio es mejorar la estimación de caudales extremos en el país, en cuencas con escasa o nula información fluviométrica, mediante el empleo de fórmulas o procedimientos sencillos y confiables para el diseño de obras hidráulicas de pequeña y mediana envergadura. Es un estudio preliminar del Manual de diseño de Obras hidráulicas de drenaje."/>
    <s v="Información relevante para el diagnóstico de eventos extremos como los caudales medios diarios máximos, Periodo Pluvial, en el periodo de tiempo de 1964-1991; caudales instantáneos máximos"/>
    <s v="No"/>
    <m/>
    <s v="EX005_Eventos hidrometeorolExtremos_1995.pdf"/>
  </r>
  <r>
    <x v="43"/>
    <s v="EX"/>
    <n v="20"/>
    <x v="1"/>
    <x v="43"/>
    <x v="19"/>
    <x v="30"/>
    <x v="18"/>
    <x v="4"/>
    <x v="1"/>
    <s v="El Plan busca potenciar las capacidades preventivas, sin descuidar el continuo perfeccionamiento de las actividades de preparación y atención de emergencias o desastres, pasando a constituirse en un instrumento indicativo para la gestión descentralizada, de acuerdo a las específicas realidades de riesgos y de recursos de cada área geográfica del país. Incluye una guía para el uso de los informes ALFA y DELTA."/>
    <s v="Información relevante para el análisis de eventos extremos es documento base de prevención y mitigación ante eventos extremos en ámbito Nacional."/>
    <s v="Si"/>
    <m/>
    <s v="EX020_PlanNacioProteCivil_2002.pdf"/>
  </r>
  <r>
    <x v="44"/>
    <s v="EX"/>
    <n v="25"/>
    <x v="0"/>
    <x v="44"/>
    <x v="3"/>
    <x v="31"/>
    <x v="19"/>
    <x v="4"/>
    <x v="1"/>
    <s v="Se trata del primer estudio de la Dirección Meteorológica de Chile sobre la temática “Eventos meteorológicos severos ocurridos en Chile continental, en el que se definen patrones sinópticos tipos asociados”, mediante el cual se analizan estadísticamente los eventos de precipitación y temperatura del aire, extremas a lo largo del país, determinando valores umbrales y configuraciones sinópticas asociadas que conducen a eventos extremos que pueden causar desastres naturales como inundaciones, aluviones, heladas y otros."/>
    <s v="Información relevante para el análisis de crecidas con una base de datos meteorológicas"/>
    <s v="Si"/>
    <m/>
    <s v="EX025_EventosSinopticos_2006.pdf"/>
  </r>
  <r>
    <x v="45"/>
    <s v="EX"/>
    <n v="27"/>
    <x v="0"/>
    <x v="45"/>
    <x v="5"/>
    <x v="23"/>
    <x v="8"/>
    <x v="4"/>
    <x v="4"/>
    <s v="Definición de Embalse Colbún como Embalse de Control. Es un estudio realizado sobre los embalses con capacidad de regulación de crecidas, es decir aquellos que mediante el control de los caudales de vertidos y del volumen de almacenamiento durante una crecida, son capaces de presentar un efecto de regulación en los eventos máximos, con el objeto de mitigar parcial o totalmente los daños producidos aguas abajo por los desbordamientos del cauce, primordialmente en aquellas zonas previamente definidas como de riesgo. El Estudio analiza el caso particular del Embalse Colbún. El Embalse principal de Control del sistema corresponde a Colbún, debido a que controla 5.894 km2 del total de la superficie aportante de la cuenca del Maule de 20.228 km2. El embalse Colbún se caracteriza por disponer de una capacidad de almacenamiento según diseño de unos 1.540 hm3. Suficiente para retener una precipitación de más de 403 mm sobre su cuenca aportante, comparable a la precipitación acumulada máxima de 2 días con periodo de retorno de 50 años. En efecto el tamaño del embalse es tal, que el caudal medio anual del principal afluente, el río Maule, permite su llenado en 76 días y el volumen de almacenamiento disponible entre sus cotas de operación mínima y máxima permiten almacenar íntegramente el volumen asociado a las principales crecidas históricas registradas en los años: 1991, 2006 y 2008. Concluye el Estudio que la capacidad que dispone Colbún para regular las crecidas es considerable, fijando el caudal umbral a la salida de Colbún, a un caudal de 2.500 m3/s, el que corresponde a un periodo de retorno inferior a 5 años. "/>
    <s v="Documento normativo con información relevante para el análisis de eventos extremos, indica obligaciones de los operadores ante la declaración de alerta, entre otros aspectos"/>
    <s v="Si"/>
    <m/>
    <s v="EX027LEYembalses_2010.pdf"/>
  </r>
  <r>
    <x v="46"/>
    <s v="EX"/>
    <n v="26"/>
    <x v="5"/>
    <x v="46"/>
    <x v="4"/>
    <x v="32"/>
    <x v="20"/>
    <x v="4"/>
    <x v="0"/>
    <s v="Investiga el comportamiento de las crecidas por medio del análisis de los caudales puenta en cuatro estaciones fluviométricas, distribuidas en las uencas del río Maule y el Mataquito._x000a_Se generaron modelos matemáticos para predecir el caudal puenta aguas abajo, a partir de los caudales punta de las estaciones ubicadas auas arriba."/>
    <s v="Información relevante para el análisis de eventos extremos con modelos matemáticos en la predicción del comportamiento de caudales."/>
    <s v="Si"/>
    <m/>
    <s v="EX026_PrediciCaudalPunta_Tesis_06.pdf"/>
  </r>
  <r>
    <x v="47"/>
    <s v="EX"/>
    <n v="28"/>
    <x v="0"/>
    <x v="47"/>
    <x v="5"/>
    <x v="33"/>
    <x v="1"/>
    <x v="4"/>
    <x v="0"/>
    <s v="En este documento se realiza un analis de la situacion atual de los umbrales de alerta de monitorieo de las estaciones fluviometricas y pluviometricas; y consecutivamente una propuesta de nuevo listado de umbrales de alertas."/>
    <s v="Información relevante para el análisis de eventos en la revisión de los umbrales de alerta de crecidas."/>
    <s v="Si"/>
    <m/>
    <s v="EX028_NivelesDeAlertaDGA_2010.pdf"/>
  </r>
  <r>
    <x v="48"/>
    <s v="EX"/>
    <n v="29"/>
    <x v="0"/>
    <x v="48"/>
    <x v="5"/>
    <x v="34"/>
    <x v="21"/>
    <x v="4"/>
    <x v="1"/>
    <s v="Es un Estudio realizado en colaboración con la FAO, en el que se propuso establecer metodologías para la gestión del riesgo asociado a eventos climáticos extremos, con particular referencia a las sequías en Chile, de modo de apoyar la iniciativa del Ministerio de Agricultura para desarrollar e implementar un Sistema de Gestión del Riesgo Agroclimático. Los objetivos del estudio se centraron en: a) Definir las condiciones de vulnerabilidad a la sequía, en sus dimensiones económica, ambiental y social, incluyendo las capacidades para enfrentar el fenómeno; b) Desarrollar criterios para la evaluación y seguimiento de impactos de la sequía en el ámbito rural; y c) Familiarizar el concepto de gestión de riesgo en diversos ámbitos del desarrollo rural."/>
    <s v=" Información relevante en el diagnóstico de eventos extremos con los criterios de evaluación de sequias."/>
    <s v="No"/>
    <m/>
    <s v="EX029_GestiónRiesgoSequíaFAO_2010.pdf"/>
  </r>
  <r>
    <x v="49"/>
    <s v="EX"/>
    <n v="30"/>
    <x v="1"/>
    <x v="49"/>
    <x v="9"/>
    <x v="23"/>
    <x v="1"/>
    <x v="4"/>
    <x v="1"/>
    <s v="Se trata del Protocolo ONEMI-DGA del 15 de febrero del 2012, que el que se establece los mecanismos de comunicación para la declaración de alertas de crecidas de ríos y lagos, con el objetivo de adoptar oportunamente las medidas preventivas destinadas a impedir o mitigar los riesgos asociados a estas crecidas de los cauces por razones climáticas. Facilita un anexo con los &quot;umbrales de emergencia&quot; de 78 estaciones, para dos límites: amarillo superior y rojo superior."/>
    <s v="Información relevante para el análisis de eventos extremos, protocolo de prevención ante crecidas define niveles de responsabilidades y umbrales de alerta."/>
    <s v="Si"/>
    <m/>
    <s v="EX030Protocolo ONEMI-DGAcrecidas_2012.pdf"/>
  </r>
  <r>
    <x v="50"/>
    <s v="EX"/>
    <n v="33"/>
    <x v="1"/>
    <x v="50"/>
    <x v="9"/>
    <x v="35"/>
    <x v="22"/>
    <x v="4"/>
    <x v="5"/>
    <s v="El PCE de la Comuna de Longaví, de 2012. El plan apunta al origen del riesgo, en forma permanente e integrada, es decir, al manejo integral de la Protección Civil, por lo que se propone la elaboración de diagnósticos, planificar y ejecutar las acciones que apuntan a las fases de prevención, respuesta y recuperación. Dispone de una planificación en materia de Protección Civil de carácter indicativo, destinada al desarrollo de acciones permanentes para la prevención y atención de emergencias y desastres en la comuna, a partir de una visión integral del manejo de riesgos. Se aportan los Mapas de Riesgo de la comuna para: derrumbes, emergencia química, incendio forestal, inundaciones, y nevadas. "/>
    <s v="Información relevante en el diagnóstico de eventos extremos como base a la mitigación a nivel comunal"/>
    <s v="No"/>
    <m/>
    <s v="EX033_PLAN DE EMERGENCIA COMUNAL LONGAVI_2012.pdf"/>
  </r>
  <r>
    <x v="51"/>
    <s v="EX"/>
    <n v="35"/>
    <x v="5"/>
    <x v="51"/>
    <x v="10"/>
    <x v="36"/>
    <x v="23"/>
    <x v="4"/>
    <x v="1"/>
    <s v="Analiza los indicadores climáticos extremos de precipitación y temperatura propuestos por el Expert Team on Climate Change Detection Monitoring and Indices (ETCCDMI), a partir de series diarias de temperaturas extremas y precipitación en 17 puntos a lo largo de Chile, correspondientes al periodo 1961-1990. Este estudio y otros recientes muestran que la temperatura mínima diaria aumentó significativamente en el periodo 1961-1990, entre los 18°S y 40°S. Por otra parte, se observó un incremento significativo en el porcentaje de días al año cuando la temperatura máxima sobrepasa el percentil 90% (noches cálidas), en el número de días con temperatura máxima por sobre los 25°C (días de verano) y en la frecuencia de días con temperatura mínima superior a 20°C (noches tropicales), mientras que los indicadores de extremos fríos disminuyeron su frecuencia. Asimismo, en un porcentaje importante de indicadores se observa que la tendencia cambia al considerar un periodo más extenso (1961-2010), demostrando que la variabilidad decadal incide significativamente en las tendencias climáticas, lo que conlleva a incertidumbre en la interpretación futura. Este estudio muestra que la temperatura mínima diaria aumentó significativamente en el periodo 1961-1990, y un incremento significativo en el porcentaje de días al año cuando la temperatura máxima sobrepasa el percentil 90% (noches cálidas), mientras que los indicadores de extremos fríos disminuyeron su frecuencia. Asimismo, en un porcentaje importante de indicadores se observa que la tendencia cambia al considerar un periodo más extenso (1961-2010), demostrando que la variabilidad decadal incide significativamente en las tendencias climáticas. Se proyectan los valores climáticos principales para finales del siglo XXI."/>
    <s v="Información relevante para el análisis de eventos extremos especialmente en diagnóstico de indicadores de dichos eventos."/>
    <s v="Si"/>
    <m/>
    <s v="EX035_Eventos_Extremos_cf-villarroel_cj_2013.pdf"/>
  </r>
  <r>
    <x v="52"/>
    <s v="EX"/>
    <n v="40"/>
    <x v="1"/>
    <x v="52"/>
    <x v="6"/>
    <x v="23"/>
    <x v="24"/>
    <x v="4"/>
    <x v="6"/>
    <s v="Documento elaborado por la Dirección Provincial de Protección Civil y Emergencia, y se ha basado en el Plan Nacional de Protección Civil elaborado por ONEMI. Este Plan busca potenciar las capacidades preventivas regionales y comunales, sin descuidar el continuo perfeccionamiento de las actividades de preparación y atención de emergencias o desastres, pasando a constituirse en un instrumento indicativo para la gestión descentralizada, de acuerdo a las específicas realidades de riesgos y de recursos de cada área geográfica. Presenta numerosas tablas de roles y organigramas para los distintos horizontes de las emergencias."/>
    <s v="Información relevante para el análisis de eventos extremos como plan de alerta temprana de la provincia de Curicó"/>
    <s v="Si"/>
    <m/>
    <s v="EX040_PL_DE EMERG_PROVI_CURICÓ2014.doc"/>
  </r>
  <r>
    <x v="53"/>
    <s v="EX"/>
    <n v="50"/>
    <x v="1"/>
    <x v="53"/>
    <x v="6"/>
    <x v="23"/>
    <x v="25"/>
    <x v="4"/>
    <x v="1"/>
    <s v="Este documento fue realizado por la Plataforma Nacional durante los años 2012 y 2013,  se divide en tres partes. La primera se refiere a la importancia de contar en Chile con una política en gestión del riesgo. La segunda está constituida por la formulación de la política, los principios rectores, los ejes estratégicos y los objetivos consensuados por cada mesa de trabajo. Finalmente, se muestran una serie de anexos que complementan el documento, en donde se describe brevemente la contextualización geográfica de Chile y sus amenazas de origen natural, el marco normativo que existe en relación a la gestión del riesgo y la metodología de trabajo que fundamenta la formulación de la política. "/>
    <s v="Información relevante para el análisis de eventos extremos, establece ejes estratégicos de gestión de riesgos."/>
    <s v="Si"/>
    <m/>
    <s v="EX050_PoliticaNacGestionRiesgoDesastres_2014.pdf"/>
  </r>
  <r>
    <x v="54"/>
    <s v="EX"/>
    <n v="60"/>
    <x v="1"/>
    <x v="54"/>
    <x v="6"/>
    <x v="37"/>
    <x v="3"/>
    <x v="4"/>
    <x v="1"/>
    <s v="Es la tercera versión (18/11/2014) del Protocolo ONEMI-SHOA, que da las instrucciones sobre la coordinación del Sistema Nacional de Alarmas de Maremotos (SNAM), y las instituciones que la componen. El Servicio Hidrográfico y Oceanográfico de la Armada de Chile (SHOAC) es el organismo técnico, permanente y oficial del Estado responsable de la operación del SNAM, por su parte, la Oficina Nacional de Emergencia del Ministerio del Interior y Seguridad Pública (ONEMI), tiene la responsabilidad de adoptar las medidas pertinentes para la aplicación Plan Nacional de Protección Civil ante el riesgo de tsunamis. Responsabilidades, procesos, acciones, y boletines informativos de alertas."/>
    <s v=" Información relevante en el diagnóstico de eventos extremos para el concocimiento de plan de accion antes Tsunamis."/>
    <s v="No"/>
    <m/>
    <s v="EX060_Protocolo ONEMI-SHOAtsunami_2014.pdf"/>
  </r>
  <r>
    <x v="55"/>
    <s v="EX"/>
    <n v="65"/>
    <x v="1"/>
    <x v="55"/>
    <x v="6"/>
    <x v="38"/>
    <x v="26"/>
    <x v="4"/>
    <x v="5"/>
    <s v="El PCPCYE de la Comuna de Chanco de 2014. Las frecuentes amenazas de origen natural o antrópicas a que es sometida la comuna, están contempladas en este Plan o Guía, tales como incendios, crecidas, sequías, sismos, accidentes de tránsito, etc. Se dispone de una planificación para el Comité de Protección Civil y Emergencia y la comunidad, destinada al desarrollo de acciones permanentes para la prevención y atención de emergencias y desastres en la Comuna, con una visión integral de manejo de riesgos. "/>
    <s v="Información relevante en el diagnóstico de eventos extremos como base a la mitigación a nivel comunal"/>
    <s v="No"/>
    <m/>
    <s v="EX065_PLAN DE EMERGENCIA COMUNAL CHANCO_2014.pdf"/>
  </r>
  <r>
    <x v="56"/>
    <s v="EX"/>
    <n v="70"/>
    <x v="1"/>
    <x v="56"/>
    <x v="13"/>
    <x v="23"/>
    <x v="18"/>
    <x v="4"/>
    <x v="0"/>
    <s v="El Plan Regional de Emergencia define la gestión integral del manejo de riesgos y reducción de desastres en la Región del Maule, como estrategia efectiva de coordinación, con un claro enfoque participativo, integrando instancias sectoriales, científico-técnicas, privadas, voluntariado y comunidad organizada, en los niveles regional, provincial y comunal. Tiene como objetivos, arbitrar medidas orientadas a la educación, entrenamiento y capacitación de la población y de disponer de especialistas en protección civil para enfrentar de manera rápida, ordenada y segura, los problemas creados por: Terremotos y maremotos (tsunamis); Incendios con riesgo de explosión/contaminación; Incendios forestales; Temporales, inundaciones, aluviones; Accidentes con gran número de víctimas; Interrupciones de servicios vitales; Intoxicaciones masivas de la población; Derrame de sustancias químicas peligrosas; Accidentes en alta montaña; Epidemias y plagas; Sequías; Actividad volcánica; Radiación atómica. "/>
    <s v="Información relevante para el análisis de eventos extremos, contiene los procedimientos, sistemas, roles y  entre otros ítems ante desastres o catástrofes. Contiene información relativa a la respuesta técnica operativa y táctica ante estos eventos, como la formación del Comité de Operaciones de Emergencia."/>
    <s v="Si"/>
    <m/>
    <s v="EX070_PLAN REGIONAL DE EMERGENCIA_2015.pdf"/>
  </r>
  <r>
    <x v="57"/>
    <s v="EX"/>
    <n v="80"/>
    <x v="1"/>
    <x v="57"/>
    <x v="13"/>
    <x v="23"/>
    <x v="27"/>
    <x v="4"/>
    <x v="6"/>
    <s v="El PEP de Cauquenes establece normas, procedimientos y niveles de coordinación y responsabilidad de los diferentes estamentos públicos y privados, así como, de autoridades civiles, de orden y seguridad, para que en conjunto estructuren un plan y mando único, que permitan brindar respuesta oportuna y satisfactoria a la población, en la probabilidad que suceda una catástrofe que afecte a parte o la Provincia en general, actuando antes, durante y después de una situación de Emergencia."/>
    <s v="Información relevante para el análisis de eventos extremos como plan de alerta temprana de la provincia de Cauquenes"/>
    <s v="Si"/>
    <m/>
    <s v="EX080_PLAN DE EMER  PROV DE CAUQUENES.pdf"/>
  </r>
  <r>
    <x v="58"/>
    <s v="EX"/>
    <n v="90"/>
    <x v="1"/>
    <x v="58"/>
    <x v="13"/>
    <x v="23"/>
    <x v="27"/>
    <x v="4"/>
    <x v="6"/>
    <s v="El PEP de Linares del año 2015, se desprende del nuevo Plan que consulta los aspectos preventivos, de mitigación, de preparación y alerta temprana, que responde a los compromisos internacionales suscritos por Chile en la “Década Internacional de Reducción de Desastres Naturales” y a la modernización del propio Sistema Nacional de Protección Civil, de acuerdo al Decreto Supremo de Interior N° 156 del 12 de marzo de 2002. Dispone de un marco nacional de gestión en protección civil que, bajo una perspectiva de administración descentralizada, sirve de base estructurada para las planificaciones regionales, provinciales y comunales, según las respectivas realidades de riesgos y de recursos."/>
    <s v="Información relevante para el análisis de eventos extremos como plan de alerta temprana de la provincia de Linares"/>
    <s v="Si"/>
    <m/>
    <s v="EX090_PLAN DE EMERG PROVI LINARES.pdf"/>
  </r>
  <r>
    <x v="59"/>
    <s v="EX"/>
    <n v="100"/>
    <x v="1"/>
    <x v="59"/>
    <x v="13"/>
    <x v="23"/>
    <x v="27"/>
    <x v="4"/>
    <x v="6"/>
    <s v="El PEP de Talca del año 2015, estructura las acciones frente a una situación que amenace o afecte directa o indirectamente a la población, a sus instalaciones, a sus vías de comunicación y a sus fuentes de abastecimiento, esto mediante una planificación y coordinación de acciones que permitan prevenir, educar y reaccionar, como así mismo atender satisfactoriamente a los requerimientos de la comunidad, activando para ello un plan preestablecido, probado y conocido por todos los entes participantes, actuando antes, durante y después de una catástrofe, para intentar mitigar el daño e impacto del fenómeno adverso. "/>
    <s v="Información relevante para el análisis de eventos extremos como plan de alerta temprana de la provincia de Talca"/>
    <s v="Si"/>
    <m/>
    <s v="EX100_PlanEmerProvTalca_2015.pdf"/>
  </r>
  <r>
    <x v="60"/>
    <s v="EX"/>
    <n v="113"/>
    <x v="1"/>
    <x v="60"/>
    <x v="13"/>
    <x v="39"/>
    <x v="28"/>
    <x v="4"/>
    <x v="5"/>
    <s v="El PCE de la Comuna de Cauquenes, tiene como objetivo velar por la seguridad de los ciudadanos de la comuna de Cauquenes, sus bienes y medio ambiente, a través de la Gestión del Riesgo. El Plan tiene la misión de asesorar técnicamente a la autoridad en materias relacionadas con la Gestión del Riesgo, desarrollar las coordinaciones pertinentes con las diferentes instituciones y Servicios del Estado, Empresas, voluntariado, entidades científico-técnico y comunidad, en pro del desarrollo de acciones que concluyan en el bienestar biosicosocial y económico de la comunidad, para un desarrollo integral. Establece el Sistema de Alerta, verde, amarilla y roja. Cita como instrumentos normalizados, los informes Alfa, Beta, y de Respaldos."/>
    <s v="Información relevante en el diagnóstico de eventos extremos como base a la mitigación a nivel comunal"/>
    <s v="No"/>
    <m/>
    <s v="EX113_PLAN DE EMERGENCIA COMUNAL CAUQUENES.pdf"/>
  </r>
  <r>
    <x v="61"/>
    <s v="EX"/>
    <n v="114"/>
    <x v="1"/>
    <x v="61"/>
    <x v="13"/>
    <x v="40"/>
    <x v="29"/>
    <x v="4"/>
    <x v="5"/>
    <s v="El PCPCYE de la Comuna de Parral, tiene como objetivo contribuir a mejorar la seguridad de las personas, sus bienes y su medio ambiente, sustentado en los principios básicos del sistema de protección civil, que son la ayuda mutua y el uso escalonado de los recursos de la Comuna de Parral. Se trata de un instrumento de la gestión en el cual los medios humanos y materiales disponibles, y los procedimientos de actuación para la prevención de riesgos se encuentran organizados, ordenados, estructurados y priorizados. Estructura las competencias y los roles de los distintos actores de los Comités intervinientes en la comuna de Parral, frente a una situación de alerta."/>
    <s v="Información relevante en el diagnóstico de eventos extremos como base a la mitigación a nivel comunal"/>
    <s v="No"/>
    <m/>
    <s v="EX114_PLAN DE EMERGENCIA COMUNAL PARRAL.pdf"/>
  </r>
  <r>
    <x v="62"/>
    <s v="EX"/>
    <n v="115"/>
    <x v="1"/>
    <x v="62"/>
    <x v="13"/>
    <x v="41"/>
    <x v="30"/>
    <x v="4"/>
    <x v="5"/>
    <s v="El PCPC de la Comuna de Linares del 2015, tiene como objetivos disponer de una planificación multisectorial en materia de Protección Civil, de carácter indicativo, destinada al desarrollo de acciones permanentes para la prevención y atención de emergencias y desastres en el país, a partir de una visión integral de manejo del riesgo, bajo una perspectiva de administración descentralizada, y sirva de base estructurada para las planificaciones regionales, provinciales y comunales, según las respectivas realidades de riesgos y de recursos, estableciendo el ámbito general de las coordinaciones entre los distintos sectores y actores. Delimitando las responsabilidades políticas, legales, científicas, técnicas, como operativas, del Sistema Nacional de Protección Civil, en cada una de las etapas del ciclo de manejo de riesgos. Adicionalmente en el Capítulo VI, se definen los mapas de las distintas áreas de la Microzonificación de Linares para atender las situaciones de alertas por riesgo."/>
    <s v="Información relevante en el diagnóstico de eventos extremos como base a la mitigación a nivel comunal"/>
    <s v="No"/>
    <m/>
    <s v="EX115_PLAN DE EMERGENCIA COMUNAL LINARES_2015.pdf"/>
  </r>
  <r>
    <x v="63"/>
    <s v="EX"/>
    <n v="116"/>
    <x v="1"/>
    <x v="63"/>
    <x v="13"/>
    <x v="42"/>
    <x v="31"/>
    <x v="4"/>
    <x v="5"/>
    <s v="El PCPCYE de la Comuna de Pelluhue, tiene como objetivos, el disponer de una planificación para el Comité de Protección Civil y Emergencia y la comunidad, destinada al desarrollo de acciones permanentes para la prevención y atención de emergencias y desastres en la Comuna, mantener una coordinación permanente con la Dirección Provincial y Regional de Emergencia, promover y ejecutar jornadas de capacitación para Juntas de Vecinos y otras organizaciones sobre Protección Civil y Emergencia, realizar procesos de Microzonificación de riesgos y recursos en el Comité y con la Comunidad, elaborar y mantener vigentes actividades para preparar y definir roles y funciones de los integrantes del Comité de Protección Civil y Emergencia."/>
    <s v="Información relevante en el diagnóstico de eventos extremos como base a la mitigación a nivel comunal"/>
    <s v="No"/>
    <m/>
    <s v="EX116_PLAN DE EMERGENCIA COMUNAL PELLUHUE.pdf"/>
  </r>
  <r>
    <x v="64"/>
    <s v="EX"/>
    <n v="117"/>
    <x v="1"/>
    <x v="64"/>
    <x v="13"/>
    <x v="43"/>
    <x v="32"/>
    <x v="4"/>
    <x v="5"/>
    <s v="El PCE de la Comuna de Talca de 2015, es un Plan Comunal de Protección Civil y Emergencias de la comuna de Talca, que es una herramienta de gestión mediante el cual la Unidad Comunal de Protección Civil y Emergencias organiza, ordena, estructura y prioriza las unidades, medios y recursos disponibles, correspondiente a su unidad territorial, ante eventuales riesgos y emergencias, que amenazan a las personas, propiedades o sistemas de la comunidad. Tiene como objetivos disponer de una herramienta de planificación en materia de Protección Civil de carácter consultivo indicativo, destinada al desarrollo de acciones permanentes para la prevención y atención de emergencias y desastres en la comuna, a partir de una visión integral del manejo de riesgos."/>
    <s v="Información relevante en el diagnóstico de eventos extremos como base a la mitigación a nivel comunal"/>
    <s v="No"/>
    <m/>
    <s v="EX117_PLAN DE EMERGENCIA COMUNAL TALCA_2015.pdf"/>
  </r>
  <r>
    <x v="65"/>
    <s v="EX"/>
    <n v="120"/>
    <x v="1"/>
    <x v="65"/>
    <x v="13"/>
    <x v="23"/>
    <x v="18"/>
    <x v="4"/>
    <x v="0"/>
    <s v="La GRPI del 2015, Se trata de una predicción realizada para el invierno de 2015, de acuerdo a un trabajo realizado en el levantamiento de información regional Plan de Invierno 2015, la Dirección Regional ONEMI Maule, identifica un total de 470 puntos críticos distribuidos en las 30 comunas de la región; los que se los clasifica en puntos críticos de Muy Alto Riesgo, puntos críticos de Alto Riesgo, puntos críticos de Medio Riesgo y puntos críticos de Bajo Riesgo. Este levantamiento se hizo sobre las potenciales actividades previstas para mitigar los riesgos, entre las que se destacan: 1) Limpieza de lechos, esteros, ríos, y canales, 2) Mejoramiento de colectores, desagües y evacuación aguas lluvias, 3) Defensas fluviales y construcción de gaviones, 4) Contención de laderas, 5) Mantenimiento de rutas, 6) Construcción de diques y estructuras ante crecidas, y 7) Limpieza de piscinas decantadoras."/>
    <s v="Información relevante para el análisis de eventos extremos donde se detallan los puntos críticos proyectados para el ultimo año 2015."/>
    <s v="Si"/>
    <m/>
    <s v="EX120_PlanInviernoGestiónRegional_2015.pdf"/>
  </r>
  <r>
    <x v="66"/>
    <s v="IH"/>
    <n v="10"/>
    <x v="6"/>
    <x v="66"/>
    <x v="20"/>
    <x v="44"/>
    <x v="0"/>
    <x v="5"/>
    <x v="4"/>
    <s v="Se trata del Resumen Ejecutivo del proyecto del canal. Es un Estudio de factibilidad que analiza una serie de alternativas, escogiendo como favorable de entre todas las alternativas, el caso 11 variante L 70. Los parámetros más importantes de esta alternativa y los resultados de su evaluación económica definieron un canal con una capacidad máxima inicial de 70 m3/seg, con una longitud de 74.3 km desde su bocatoma hasta el canal Ibáñez situado al norte del sistema Digua. Cruza varios cauces naturales, tales como los ríos Putagán, Achibueno y Longavi, entre otros."/>
    <s v=" Información relevante en el diagnóstico de infrastructura hidraulica en base al catastro de canales y bocatomas."/>
    <s v="No"/>
    <m/>
    <s v="IH010_Canal linares_1991.pdf"/>
  </r>
  <r>
    <x v="67"/>
    <s v="IH"/>
    <n v="20"/>
    <x v="4"/>
    <x v="67"/>
    <x v="20"/>
    <x v="45"/>
    <x v="1"/>
    <x v="5"/>
    <x v="0"/>
    <s v="El Catastro Público de Aguas está constituido por archivos, registros e inventarios que el reglamento establece, se consignan todos los datos, actos y antecedentes que dan relación con el recurso hídrico, con las obras de desarrollo del mismo, con los derechos de aprovechamiento, con los derechos reales constituidos sobre éstos y con las obras construidas o que se construyan para ejercerlos. El Estudio se desarrolla en tres capítulos, i) Introducción y marco lega, ii) Metodología de Trabajo, y iii) Análisis y síntesis por cuenca. Se presentan los planos de las cuencas con el área catastrada, y el diagrama unifilar asociado."/>
    <s v="Información relevante en el diagnóstico de infrastructura hidraulica en base al catastro."/>
    <s v="No"/>
    <s v="SIT6"/>
    <s v="IH020_Usuarios y infraestrucutra_1991.pdf"/>
  </r>
  <r>
    <x v="68"/>
    <s v="IH"/>
    <n v="30"/>
    <x v="4"/>
    <x v="68"/>
    <x v="21"/>
    <x v="46"/>
    <x v="1"/>
    <x v="5"/>
    <x v="0"/>
    <s v="El Estudio presenta la información recolectada y procesada de los embalses mayores de la Sexta y Séptima Región, definiendo como embalses mayores aquellos que tienen una capacidad máxima de 50.000 m3 o muros con más de 5 m de altura. El alcance general que tiene este catastro de embalses, es el de la recolección y análisis de las características físicas de las obras e hidrográficas de los cuerpos de agua , mediante visitas de expertos al terreno; la toman de algunas dimensiones típicas de dichas obras, y la obtención de información mediante la entrevista a sus propietarios y/o beneficiarios. En aquellos casos en que se tuvo acceso a los proyectos, se verificaron algunos datos técnicos estimados en las visitas."/>
    <s v="Información relevante en el diagnóstico de infrastructura hidraulica en base al catastro  y detalle de embases."/>
    <s v="No"/>
    <s v="SIT34"/>
    <s v="IH030_CatastroEmbalsesVIIRegion_1996.pdf"/>
  </r>
  <r>
    <x v="69"/>
    <s v="IH"/>
    <n v="35"/>
    <x v="6"/>
    <x v="69"/>
    <x v="22"/>
    <x v="46"/>
    <x v="33"/>
    <x v="5"/>
    <x v="5"/>
    <s v="Estudio de alternativas de sitios para la construcción de un embalse estacional en la zona de Tabunco, analizando ventajas e inconvenientes, y desarrolando la más rentable desde el punto de visto social"/>
    <s v="Información relevante en el diagnóstico de infrastructura hidraulica en base al catastro y de embalse, en este caso Tabuco."/>
    <s v="No"/>
    <m/>
    <s v="IH035_PrefactEmbTabunco_1999.pdf"/>
  </r>
  <r>
    <x v="70"/>
    <s v="IH"/>
    <n v="40"/>
    <x v="4"/>
    <x v="70"/>
    <x v="23"/>
    <x v="0"/>
    <x v="1"/>
    <x v="5"/>
    <x v="3"/>
    <s v="En el contexto de los levantamientos de bocatomas, la Dirección General de Aguas del MOP promueve la realización de un primer catastro y levantamiento general de las bocatomas que captan aguas en las cuencas de los ríos Aconcagua, Rapel, Mataquito y Maule tendentes a establecer el inventario público de extracciones autorizadas y el inventario público de extracciones efectivas de aguas desde los cursos citados. Se presentan los planos de cuencas y subcuencas de los cauces naturales, como las tablas de las bocatomas con su asignación de acciones y caudales."/>
    <s v="Información relevante en el diagnóstico de infrastructura hidraulica en base al catastro de canales y bocatomas."/>
    <s v="No"/>
    <s v="SIT64"/>
    <s v="IH040_LevantamBocatomas_2000.zip"/>
  </r>
  <r>
    <x v="71"/>
    <s v="IH"/>
    <n v="50"/>
    <x v="4"/>
    <x v="71"/>
    <x v="23"/>
    <x v="47"/>
    <x v="1"/>
    <x v="5"/>
    <x v="3"/>
    <s v="Se trata una segunda etapa de los levantamientos de bocatomas, de donde surge la necesidad de efectuar un profundo análisis de toda la información relativa a las extracciones efectuadas en cauces naturales, con énfasis en dos aspectos centrales, las extracciones autorizadas y las extracciones efectivas. Naturalmente se derivan actividades complementarias de terreno orientadas a la ubicación precisa de las obras de captación y sus características pertinentes cuando no existe información previamente levantada, la que en general es insuficiente. El Departamento de Estudios y Planificación de la Dirección General de Aguas encargó la ejecución del estudio &quot;Levantamiento de Bocatomas en Cauces Naturales, Il Etapa&quot;, y se realizó un exhaustivo reconocimiento de las obras de bocatoma en algunos cauces naturales, su ubicación, características, extracciones autorizadas y efectivas. Presenta las tablas con los listados de las bocatomas, y asignaciones de acciones y caudales."/>
    <s v="Información relevante en el diagnóstico de infrastructura hidraulica en base al catastro de canales y bocatomas."/>
    <s v="No"/>
    <s v="SIT66"/>
    <s v="IH050_LevantamyCatastroBocatomas_2000.pdf"/>
  </r>
  <r>
    <x v="72"/>
    <s v="IH"/>
    <n v="60"/>
    <x v="1"/>
    <x v="72"/>
    <x v="23"/>
    <x v="0"/>
    <x v="33"/>
    <x v="5"/>
    <x v="5"/>
    <s v="El Estudio incluye la formulación del “Plan Maestro de Evacuación y Drenaje de Aguas Lluvias de la Ciudad de Talca, VII Región”, que incluye además la localidad de Maule. El Plan tiene el siguiente alcance: i) Identifica y evalúa la problemática de la evacuación y drenaje de las aguas lluvias del área de estudio, y se proponen soluciones integrales, ii) Realiza una caracterización y diagnóstico de la situación actual, y se identifican los problemas, iii) Se seleccionan las zonas a sanear, iv) Propuesta de alternativas para dar solución a los problemas de evacuación y drenaje de las aguas lluvias, v) Se define y calcula la red primaria de sistemas de evacuación y drenaje de aguas lluvias, vi) Se priorizan los proyectos de inversión dentro del Plan Maestro de manera de que ello conduzca a la definición del Plan de Inversiones."/>
    <s v="Información relevante en el diagnóstico de infrastructura hidraulica refente a las obras de evacuacion y drenaje aguas lluvias en Talca."/>
    <s v="No"/>
    <m/>
    <s v="IH060_PlanMastroAguasLluviaTalca_2000.zip"/>
  </r>
  <r>
    <x v="73"/>
    <s v="IH"/>
    <n v="65"/>
    <x v="6"/>
    <x v="73"/>
    <x v="24"/>
    <x v="48"/>
    <x v="33"/>
    <x v="5"/>
    <x v="4"/>
    <s v="El Estudio tiene como objetivo determinar el volumen óptimo del embalse Ciprés, mediante la evaluación y comparación económica de las soluciones. Se definieron cuatro alturas de presa dentro de las posibilidades físicas que ofrece el sitio de cierre del valle y, previo predimensionamiento de las estructuras y estimación de los respectivos presupuestos, se definió una función de “Costos de la presa y obras anexas versus Capacidad de embalse (Altura de la presa)” para escoger el diseño óptimo._x000a_"/>
    <s v=" Información relevante en el diagnóstico de infrastructura hidraulica en base al catastro y conocimeinto del embalse cipres."/>
    <s v="No"/>
    <m/>
    <s v="IH065PrefecConstrEmbalseCipres_2001.zip"/>
  </r>
  <r>
    <x v="74"/>
    <s v="IH"/>
    <n v="70"/>
    <x v="1"/>
    <x v="74"/>
    <x v="19"/>
    <x v="0"/>
    <x v="33"/>
    <x v="5"/>
    <x v="5"/>
    <s v="Planos"/>
    <s v="Información relevante en el diagnóstico de infrastructura hidraulica refente a las obras de evacuacion y drenaje aguas lluvias en Linares."/>
    <s v="No"/>
    <m/>
    <s v="IH070_PlanMaestroAguasLluviaLinares_2002.zip"/>
  </r>
  <r>
    <x v="75"/>
    <s v="IH"/>
    <n v="75"/>
    <x v="1"/>
    <x v="75"/>
    <x v="19"/>
    <x v="0"/>
    <x v="33"/>
    <x v="5"/>
    <x v="5"/>
    <s v="Es la formulación del “Plan Maestro de Evacuación y Drenaje de Aguas Lluvias de la Ciudad de Curicó, VII Región”, que incluye además las localidades de Sarmiento y Romeral. El Plan tiene el siguiente alcance: i) Identifica y evalúa la problemática de la evacuación y drenaje de las aguas lluvias del área de estudio, y se proponen soluciones integrales, ii) Realiza una caracterización y diagnóstico de la situación actual, y se identifican los problemas, iii) Se seleccionan las zonas a sanear, iv) Propuesta de alternativas para dar solución a los problemas de evacuación y drenaje de las aguas lluvias, v) Se define y calcula la red primaria de sistemas de evacuación y drenaje de aguas lluvias, vi) Se priorizan los proyectos de inversión dentro del Plan Maestro de manera de que ello conduzca a la definición del Plan de Inversiones."/>
    <s v="Información relevante en el diagnóstico de infrastructura hidraulica refente a las obras de evacuacion y drenaje aguas lluvias en Curicó."/>
    <s v="No"/>
    <m/>
    <s v="IH075 PMAguasLluviasCurico_2002.zip"/>
  </r>
  <r>
    <x v="76"/>
    <s v="IH"/>
    <n v="80"/>
    <x v="0"/>
    <x v="76"/>
    <x v="1"/>
    <x v="49"/>
    <x v="33"/>
    <x v="5"/>
    <x v="1"/>
    <s v="Es una edición histórica y técnica de la evolución del riego en Chile, hace referencia a las distintas prácticas de riego en las distintas épocas, como así también a la legislación estatal sobre el riego. Realiza una visión general de la relación Suelos y Aguas, y finalmente presenta un inventario descriptivo de la Obras Hidráulicas Construidas entre los años 1939 a 2000. "/>
    <s v="Información relevante en el diagnóstico de infrastructura hidraulica en base al catastro de canales y bocatomas; y otros aspectos de sistema de riego en la Región."/>
    <s v="No"/>
    <m/>
    <s v="IH080_RiegoEnChile_2003.pdf"/>
  </r>
  <r>
    <x v="77"/>
    <s v="IH"/>
    <n v="90"/>
    <x v="1"/>
    <x v="77"/>
    <x v="1"/>
    <x v="50"/>
    <x v="33"/>
    <x v="5"/>
    <x v="2"/>
    <s v="Corresponde a un documento orientador, tanto de las acciones estructurales (obras); como de las no-estructurales (acuerdos, regulaciones y procedimientos); las que en conjunto deben aplicarse a los cauces de manera de lograr los objetivos propuestos por el Plan. En su formulación se abordan los aspectos relacionados con las características asociadas al medio físico o sistema natural; las asociadas a las actividades humanas, o sistema social, que se relacionan con el cauce; y el sistema institucional asociado al cauce (organizaciones y leyes)."/>
    <s v="Información relevante en el desarrollo del capítulo de infraestructura hidráulica, especialmente en manejo de cauces y  defensas fluviales en los rios Teno, Lontué y Mataquito. Determinación de zonas indudables urbanas. Nuevas propuestas estructurales."/>
    <s v="Si"/>
    <m/>
    <s v="IH090_PMManejoCaucesMataquito_2003.zip"/>
  </r>
  <r>
    <x v="78"/>
    <s v="IH"/>
    <n v="92"/>
    <x v="1"/>
    <x v="78"/>
    <x v="2"/>
    <x v="29"/>
    <x v="33"/>
    <x v="5"/>
    <x v="3"/>
    <s v="El Plan Maestro de Manejo de los Cauces Naturales para los ríos Maule, Claro y Loncomilla es una herramienta de planificación y programación tendente a la identificación y ordenamiento de las acciones estructurales y no estructurales, y en el manejo integral de los cauces naturales en el ámbito hidráulico fluvial y su relación con los aspectos físicos, ambientales, legales, culturales y sociales asociados a su entorno. La programación de inversiones propuestas en el Plan Maestro debe ser objeto de revisiones y actualizaciones periódicas, de modo de incorporar aquellas modificaciones que resulten del mayor desarrollo urbano o agropecuario y permita evaluar los resultados y efectos del funcionamiento de los cauces y su entorno a lo largo del tiempo, como así también de aquellos cambios que pudieran derivarse de la aplicación de nueva políticas institucionales. El documento elaborado facilita la toma de decisiones futuras de la gestión y manejo del cauce, así como lo atinente a la coordinación entre los entes del Estado en su rol de agentes reguladores o inversores, o entes de tipo privado. "/>
    <s v="Información relevante en el desarrollo del capítulo de infraestructura hidráulica, especialmente en manejo de cauces y  defensas fluviales en los ríos Maule, Claro, Loncomilla. Determinación de zonas indudables urbanas. Nuevas propuestas estructurales."/>
    <s v="Si"/>
    <m/>
    <s v="IH092_PMManejoCaucesCuencaMaule_2004.zip"/>
  </r>
  <r>
    <x v="79"/>
    <s v="IH"/>
    <n v="93"/>
    <x v="1"/>
    <x v="79"/>
    <x v="3"/>
    <x v="50"/>
    <x v="33"/>
    <x v="5"/>
    <x v="4"/>
    <m/>
    <s v="Información relevante en el desarrollo del capítulo de infraestructura hidráulica, especialmente en manejo de cauces y  defensas fluviales. Incluye información útil en el análisis de insumos para la gestión hídrica. "/>
    <s v="Si"/>
    <m/>
    <s v="IH093_PMCauceLongavíAchibueno_2006.rar"/>
  </r>
  <r>
    <x v="80"/>
    <s v="IH"/>
    <n v="95"/>
    <x v="6"/>
    <x v="80"/>
    <x v="3"/>
    <x v="29"/>
    <x v="33"/>
    <x v="5"/>
    <x v="7"/>
    <s v="El Estudio apunta a resolver los problemas actuales de inundación por aguas lluvias en el sector de Cuellár Norponiente de Linares, desde el punto de vista de la factibilidad y el diseño de ingeniería a nivel de detalle de los proyectos propuestos en el Plan Maestro. También apunta a resolver los problemas de drenaje de aguas  lluvias futuros en un sector que, aunque actualmente corresponde a sectores agrícolas o de expansión urbana aún no están consolidados, pero se proyecta como el eje principal de la futura expansión urbana de la ciudad. Con el Diseño definitivo, la Dirección de Obras Hidráulicas dispone de los antecedentes técnicos y legales necesarios para proceder a licitar la construcción de las obras del sistema Cuéllar Norponiente, propuesto en el Plan Maestro de Evacuación y Drenaje de Aguas Lluvias de Linares."/>
    <s v="Información relevante en el diagnóstico de infrastructura hidraulica refente a las obras del embalse."/>
    <s v="No"/>
    <m/>
    <s v="IH095_PrefactSistemaCuellarUrbanizado_2006.zip"/>
  </r>
  <r>
    <x v="81"/>
    <s v="IH"/>
    <n v="100"/>
    <x v="0"/>
    <x v="81"/>
    <x v="7"/>
    <x v="51"/>
    <x v="33"/>
    <x v="5"/>
    <x v="5"/>
    <s v="La implementación de un SIG para la GPMALL de Talca, tiene el propósito de contar con información organizada y actualizada del Plan Maestro de evacuación de aguas lluvia de Talca realizado en el año 2000. La DOH mediante este proyecto de “Implementación de un SIG para la Gestión del Plan Maestro de Aguas Lluvia de Talca” (SIG-PM-09), genera un sistema de información alfanumérico y espacial (metadatos) que permite, por un lado, almacenar y actualizar la información elaborada por el Plan Maestro, con el propósito de utilizarla como insumo para el desarrollo de las diferentes etapas de un proyecto, desde el nivel de factibilidad hasta su ejecución, y por otro, para el seguimiento físico de la operación de las obras proyectadas."/>
    <s v="Información relevante en el diagnóstico de infrastructura hidraulica refente al SIG de Plan Maestro de aguas Lluvias de Talca."/>
    <s v="No"/>
    <m/>
    <s v="IH100_ImplemSIGaguasLluviaTalca_2008.zip"/>
  </r>
  <r>
    <x v="82"/>
    <s v="IH"/>
    <n v="110"/>
    <x v="4"/>
    <x v="82"/>
    <x v="4"/>
    <x v="52"/>
    <x v="0"/>
    <x v="5"/>
    <x v="0"/>
    <s v="Contempla lo siguientes objetivos: _x000a_Elaborar un catastro de nuevas iniciativas de proyectos, a partir de informaciones recabadas en las diferentes Comisiones Regionales de Riego con sus prioridades y además en las mismas organizaciones de regantes._x000a_Definir las temáticas de mayor interés para los estudios básicos que requiere el avance de las nuevas iniciativas._x000a_Recomendar criterios de priorización de iniciativas._x000a_Establecer flujos anuales de recursos financieros para obras, estudios, programas complementarios._x000a_Implementar un sistema informático para el control de avance las iniciativas."/>
    <s v="Información relevante en el diagnóstico de infrastructura hidraulica en base al catastro de iniciativas integradas en el documento vinculdas y de interes en la gestion de recursos hidricos."/>
    <s v="No"/>
    <m/>
    <s v="IH110_ProgdeConstyRehabilitObrasRiego_2009.zip"/>
  </r>
  <r>
    <x v="83"/>
    <s v="IH"/>
    <n v="130"/>
    <x v="4"/>
    <x v="83"/>
    <x v="5"/>
    <x v="53"/>
    <x v="1"/>
    <x v="5"/>
    <x v="0"/>
    <s v="El Catastro de Embalses abarca las siguientes actividades: i) Se realiza un catastro de todos los embalses ubicados dentro de la zona de catástrofe individualizada en el Decreto Supremo N°150, de 27 de Febrero de 2010, del Ministerio del Interior (Regiones V a la IX), ii) Se confeccionan archivos shape temáticos de los embalses, con una base de datos completa, iii) Se producen proyectos SIG, uno para cada región, y uno a nivel nacional, iv) Se elaboran mapas a nivel de cada Región. El número total de embalses catastrados en la Región VII Maule es de 69 según las fuentes documentales oficiales, mientras que desde Google Earth se identifican 212. Se presentan los resultados de los proyectos SIG de los embalses._x000a_"/>
    <s v=" Información relevante en el diagnóstico de infrastructura hidraulica refente a las obras de embalses y datos incluyentes en el catastro."/>
    <s v="No"/>
    <s v="SIT231"/>
    <s v="IH130_CatastroEmbalsesInfFinal_2010.pdf"/>
  </r>
  <r>
    <x v="84"/>
    <s v="IH"/>
    <n v="131"/>
    <x v="4"/>
    <x v="84"/>
    <x v="5"/>
    <x v="53"/>
    <x v="1"/>
    <x v="5"/>
    <x v="0"/>
    <s v="Es la Carta topográfica con la información de los embalses de la Región VII Maule, según las fuentes oficiales."/>
    <s v="Información relevante en el diagnóstico de infrastructura hidraulica refente a las obras de evacuacion y drenaje aguas lluvias en Curicó."/>
    <s v="No"/>
    <s v="SIT231"/>
    <s v="IH131_CatastroEmbalsesCarta_2010.pdf"/>
  </r>
  <r>
    <x v="85"/>
    <s v="IH"/>
    <n v="140"/>
    <x v="1"/>
    <x v="85"/>
    <x v="5"/>
    <x v="54"/>
    <x v="33"/>
    <x v="5"/>
    <x v="5"/>
    <s v="El Estudio se enmarca en un programa puesto en marcha por la DOH para materializar el cumplimiento de la Ley N°19.525. Dicha ley, que regula sistemas de evacuación y drenaje de aguas lluvias, fue publicada el 10 de noviembre de 1997 en el Diario Oficial. A tavés de esta ley, la DOH tiene la responsabilidad sobre la planificación, estudio, proyección, construcción, operación, reparación, conservación y mejoramiento de la red primaria de sistemas de evacuación y drenaje de aguas lluvias, hasta su evacuación en cauces naturales. El área de estudio se sitúa en la comuna de Constitución, VII Región del Maule y el área de influencia de este Estudio comprende la ciudad de Constitución y su área de expansión, que incluye principalmente el sector de Quivolgo. _x000a_"/>
    <s v=" Información relevante en el diagnóstico de infrastructura hidraulica refente a las obras de evacuacion y drenaje aguas lluvias en Constitución."/>
    <s v="No"/>
    <m/>
    <s v="IH140_PlanMaestroAguasLluviaConstitucion_2010.zip"/>
  </r>
  <r>
    <x v="86"/>
    <s v="IH"/>
    <n v="145"/>
    <x v="0"/>
    <x v="86"/>
    <x v="5"/>
    <x v="51"/>
    <x v="33"/>
    <x v="5"/>
    <x v="5"/>
    <s v="Es el Informe de Reparación del sifón de tubería metálica del Canal Cumpeo sobre el río Claro. Por las indicaciones del informe, el sifón adolecía de falta de mantenimiento, y se encontraba muy aterrado con sedimentos, además de tener un para de tramos con abolladuras. Al conducto metálico de 1,20 m de diámetro y 85 m de largo, se le extraen los sedimentos mediante palas y cubos, y se cambian ambos tramos de por conductos nuevos de unos 2,00 m cada uno. El trabajo completo se realiza en un mes."/>
    <s v=" Información poco relevante."/>
    <s v="No"/>
    <m/>
    <s v="IH145_SifónCanalCumpeoInfRepara_2010.doc"/>
  </r>
  <r>
    <x v="87"/>
    <s v="IH"/>
    <n v="146"/>
    <x v="0"/>
    <x v="87"/>
    <x v="5"/>
    <x v="51"/>
    <x v="33"/>
    <x v="5"/>
    <x v="5"/>
    <s v="Informe final de la Asesoría de Inspección de Obra de la reparación del Canal de Cumpeo, dañado por el terremoto de 27 de febrero de 2010.  Incluye la reparación de los túneles Lo Gálvez y Remolino, y  el tramo de canal abierto entre ambos. El Canal Cumpeo (5 m³/s) data del año 1870, fue construido a mano sin ningún tipo de refuerzo y actualmente es administrado por la Asociación de Canalistas, cuenta con capacidad para regar 4.000 hectáreas en la comuna de Río Claro, por lo que su reparación es de vital importancia para asegurar la temporada agrícola y frutal de la zona."/>
    <s v=" Información poco relevante."/>
    <s v="No"/>
    <m/>
    <s v="IH146_AIF_ReparaCanalCumpeoInformeFinal_2010.doc"/>
  </r>
  <r>
    <x v="88"/>
    <s v="IH"/>
    <n v="150"/>
    <x v="0"/>
    <x v="88"/>
    <x v="8"/>
    <x v="55"/>
    <x v="0"/>
    <x v="5"/>
    <x v="8"/>
    <s v="El documento detalla la situación del valle con proyecto, estudios básicos de clima, meteorología, situación de Junta de Vigilancia de Rio Teno, situación de los canales con derechos compartidos, un análisis legal sobre organizaciones de usuarios segunda sección del rio Archibueno, Derechos de aprovechamiento y distribución, proyecto de presa y obras anexas, beneficios agroeconómicos del proyectos, evaluación económica del proyecto."/>
    <s v=" Información relevante en el diagnóstico del catastro y derechos de usos; informacion existente de juntas de vigilacia."/>
    <s v="No"/>
    <m/>
    <s v="IH150_MejoraRiegoRioTeno_2011.pdf"/>
  </r>
  <r>
    <x v="89"/>
    <s v="IH"/>
    <n v="160"/>
    <x v="0"/>
    <x v="89"/>
    <x v="8"/>
    <x v="55"/>
    <x v="0"/>
    <x v="5"/>
    <x v="4"/>
    <s v="El documento detalla la situación del valle con proyecto, estudios básicos de clima, meteorología, situación de Junta de Vigilancia de Rio Archibueno, situación de los canales con derechos compartidos, un análisis legal sobre organizaciones de usuarios segunda sección del rio Archibueno, Derechos de aprovechamiento y distribución, proyecto de presa y obras anexas, beneficios agroeconómicos del proyectos, evaluación económica del proyecto."/>
    <s v=" Información relevante en el diagnóstico del catastro y derechos de usos; informacion existente de juntas de vigilacia."/>
    <s v="No"/>
    <m/>
    <s v="IH160_EstPerfilMejoraRiegoRio Achibueno_2011.pdf"/>
  </r>
  <r>
    <x v="90"/>
    <s v="IH"/>
    <n v="170"/>
    <x v="4"/>
    <x v="90"/>
    <x v="8"/>
    <x v="53"/>
    <x v="0"/>
    <x v="5"/>
    <x v="4"/>
    <s v="Catastro de iniciativas y canales , desarrolladas a nivel de idea, perfil, prefactibilidad, factiblidad y diseño en las 12 Regiones."/>
    <s v="Información relevante en el diagnóstico de infrastructura hidraulica refente a catastro de obras."/>
    <s v="No"/>
    <m/>
    <s v="IH170_CatastroInicitivasEmbal_2011.pdf"/>
  </r>
  <r>
    <x v="91"/>
    <s v="IH"/>
    <n v="180"/>
    <x v="0"/>
    <x v="91"/>
    <x v="8"/>
    <x v="52"/>
    <x v="0"/>
    <x v="5"/>
    <x v="0"/>
    <s v="Estudio de análisis de potenciales microgeneración desarrolladas por Energías Renovables no Convencionales. Completa un catastro de Potencial Hidroeléctrico menor a 2Mw asociado a obras de riego existentes o en proyectos."/>
    <s v="Información relevante en el diagnóstico de infrastructura hidraulica refente a las obrascentrasles hidroelectricas."/>
    <s v="No"/>
    <m/>
    <s v="IH180_EstimacionMicrogeneracion_2011.pdf"/>
  </r>
  <r>
    <x v="92"/>
    <s v="IH"/>
    <n v="190"/>
    <x v="4"/>
    <x v="92"/>
    <x v="8"/>
    <x v="53"/>
    <x v="1"/>
    <x v="5"/>
    <x v="0"/>
    <s v="El objetivo del documento es realizar una catastro de los embalses orientado a la prevención de deterioro o eventual destrucción de estas obras pudiendo afectar a la seguridad de terceros._x000a_Realiza un catastro de los embalses según unas fichas de catastro, un estudio de crecidas , análisis de estabilidad, análisis de filtraciones y caudales de vertederos. En el punto último se analiza el Riesgo _x000a_"/>
    <s v="Información relevante en el diagnóstico de infrastructura hidraulica refente al catastro."/>
    <s v="No"/>
    <s v="SIT255"/>
    <s v="IH190_Embales v2T1_2011_11.zip"/>
  </r>
  <r>
    <x v="93"/>
    <s v="IH"/>
    <n v="200"/>
    <x v="3"/>
    <x v="93"/>
    <x v="8"/>
    <x v="56"/>
    <x v="17"/>
    <x v="5"/>
    <x v="0"/>
    <s v="Fichas regionales de embalses para riego construidos, en ejecución y en estudio "/>
    <s v="Poco relevante"/>
    <s v="No"/>
    <m/>
    <s v="IH200_Embalses-Riego_Construidos_2011.pptx"/>
  </r>
  <r>
    <x v="94"/>
    <s v="IH"/>
    <n v="210"/>
    <x v="6"/>
    <x v="94"/>
    <x v="9"/>
    <x v="23"/>
    <x v="0"/>
    <x v="5"/>
    <x v="5"/>
    <s v="En esta estapa de prefactibilidad, analiza alternativas de proyecto en el cauce del río Longaví, en particular en el sector denominado Longaví-CEDEC, y evalua los beneficios agrícolas que se generarían con su construcción."/>
    <s v="Información relevante en el diagnóstico de infrastructura hidraulica refente al cococimiento del embalse Longaví."/>
    <s v="No"/>
    <m/>
    <s v="IH210_RegadioEmbLongavi-Cedec_2012.pdf"/>
  </r>
  <r>
    <x v="95"/>
    <s v="IH"/>
    <n v="220"/>
    <x v="6"/>
    <x v="95"/>
    <x v="9"/>
    <x v="57"/>
    <x v="0"/>
    <x v="5"/>
    <x v="5"/>
    <s v="El objetivo del estudio es evaluar las alternativas de mejoramiento del sistema de riego de zona del río Huedque complementado con participación ciudadana. Realiza un diagnóstico del territorio en contextualización social y territorial de área de estudio, abordando la caracterización de actores y organizaciones, sus relaciones y las problemáticas que afrontan."/>
    <s v="Información relevante en el diagnóstico de infrastructura hidraulica refente al cococimiento del embalse Huadque sobre actores y organizaciones de usuarios."/>
    <s v="No"/>
    <m/>
    <s v="IH220_ProyPrefacEmbHuedque_2012.pdf"/>
  </r>
  <r>
    <x v="96"/>
    <s v="IH"/>
    <n v="230"/>
    <x v="6"/>
    <x v="96"/>
    <x v="10"/>
    <x v="47"/>
    <x v="33"/>
    <x v="5"/>
    <x v="9"/>
    <s v="Contiene los anexos del proyecto, entre ellos el Anexo de Hidrología, y el Estudio Ambiental. El estudio de hidroogía se limita al cálculo de la precipitación máxima en 24 horas para diferentes periodos de retorno (1 a 100 años) mediante diferentes funciones de ajustes (Normal, Gumbel, Pearson, Log-Normal y Log-Pearson), datos que se emplean en el modelo precipitación-escorrentía paraa generar los caudales de diseño de los colectores."/>
    <s v="Información relevante en el diagnóstico de infrastructura hidraulica refente al drenaje de las cuenca de Constitución."/>
    <s v="No"/>
    <m/>
    <s v="IH230_ ConstrEvacAguasLluviaEstero_2013.zip"/>
  </r>
  <r>
    <x v="97"/>
    <s v="IH"/>
    <n v="240"/>
    <x v="6"/>
    <x v="97"/>
    <x v="6"/>
    <x v="58"/>
    <x v="0"/>
    <x v="5"/>
    <x v="4"/>
    <s v="Tomo III Estudio Hidrológico del estudio de Prefactibilidad “Mejoramiento del Sistema de Riego en el Río Archibueno, Región del Maule”. Se divide en estudio Hidrológico y Modelos de Gestión de Recursos Hídricos."/>
    <s v="Información relevante para el análisis de eventos extremos como el estudio hidrológico del rio Archibueno."/>
    <s v="Si"/>
    <m/>
    <s v="IH240_MejoraRiegoArchibuenoEstudioHidrol_2014.pdf"/>
  </r>
  <r>
    <x v="98"/>
    <s v="IH"/>
    <n v="245"/>
    <x v="6"/>
    <x v="98"/>
    <x v="6"/>
    <x v="23"/>
    <x v="8"/>
    <x v="5"/>
    <x v="4"/>
    <m/>
    <s v=" -"/>
    <s v="No"/>
    <m/>
    <s v="IH245_FactibilidadMejoraTeno_2014.zip"/>
  </r>
  <r>
    <x v="99"/>
    <s v="IH"/>
    <n v="250"/>
    <x v="6"/>
    <x v="99"/>
    <x v="13"/>
    <x v="23"/>
    <x v="33"/>
    <x v="5"/>
    <x v="8"/>
    <s v="Anexos Digitales"/>
    <s v="Información relevante en el diagnóstico de infrastructura hidraulica "/>
    <s v="No"/>
    <m/>
    <s v="IH250_AnalisisAlternRecargaArtifLontue_2015.zip"/>
  </r>
  <r>
    <x v="100"/>
    <s v="IH"/>
    <n v="280"/>
    <x v="4"/>
    <x v="100"/>
    <x v="25"/>
    <x v="23"/>
    <x v="8"/>
    <x v="5"/>
    <x v="0"/>
    <s v="Se trata de una hoja de cálculo en Excel donde figuran diversas columnas, entre las que se destacan: la comunidad de agua, la comuna, el caudal otorgado, coordenadas, fecha de inscripción, y otros parámetros."/>
    <s v="Información relevante en el diagnóstico de infrastructura hidraulica como catastro"/>
    <s v="No"/>
    <m/>
    <s v="IH280_ComunidadAguaCanalistas.zip"/>
  </r>
  <r>
    <x v="101"/>
    <s v="CC"/>
    <n v="91"/>
    <x v="3"/>
    <x v="101"/>
    <x v="10"/>
    <x v="59"/>
    <x v="34"/>
    <x v="1"/>
    <x v="0"/>
    <s v="Esta presentación entrega antecedentes sobre tres líneas tematicas: Cambio climático y adaptación: visión conceptual; Iniciativa de adaptación. Proyecto MAPA: Maipo Plan de Adaptación; Cambio climático, lecciones de estudio en Cuenca río Mataquito."/>
    <s v="Información relevante en el diagnóstico ambiental"/>
    <s v="No"/>
    <m/>
    <m/>
  </r>
  <r>
    <x v="102"/>
    <s v="MA"/>
    <n v="10"/>
    <x v="0"/>
    <x v="102"/>
    <x v="26"/>
    <x v="60"/>
    <x v="35"/>
    <x v="6"/>
    <x v="1"/>
    <s v="Los contenidos de este documento se originan de una investigaci6n desarrollada como Proyecto DIUC 95/87, financiado par la Dirección de Investigación de la Pontificia Universidad Católica de Chile, y cuyos objetivos fueron: a)Definir los problemas ambientales de Chile y reconocer los principales parámetros que permiten identificarlos. b)Ordenación de los problemas ambientales, por su importancia y por la posibilidad de intervenir en ellos mediante medidas de control. c)Establecer para cada uno de los problemas ambientales identificados su distribución geográfica regional y el grado de importancia relativa de los mismos, d) Construir un Atlas de la percepción de los problemas ambientales del país por región y por tipo de problemas. Se hace una descripción detallada de estos conceptos para todas las regiones del país."/>
    <s v="Información relevante en el diagnóstico ambiental"/>
    <s v="No"/>
    <m/>
    <s v="MA010_ProblemasAmbChile_1990.pdf"/>
  </r>
  <r>
    <x v="103"/>
    <s v="MA"/>
    <n v="20"/>
    <x v="1"/>
    <x v="103"/>
    <x v="22"/>
    <x v="61"/>
    <x v="14"/>
    <x v="6"/>
    <x v="0"/>
    <s v="Este documento corresponde al Plan de Manejo que por normativa debe tener cada ASP pública. En el PM se fijan las pautas necesarias para el uso, manejo y desarrollo de la Unidad, durante un período de 10 años. En dicho plan se definen zonas de uso especial, de uso primitivo y de manejo de recursos, dentro de las cuales se desarrollarán los distintos subprogramas de apoyo administrativo, protección, obras y mantenimiento, investigación y manejo de recursos."/>
    <s v="Información relevante en el diagnóstico ambiental"/>
    <s v="No"/>
    <m/>
    <s v="MA020_PlanManejoRNBellotosMelado_1999.pdf"/>
  </r>
  <r>
    <x v="104"/>
    <s v="MA"/>
    <n v="30"/>
    <x v="0"/>
    <x v="104"/>
    <x v="22"/>
    <x v="62"/>
    <x v="36"/>
    <x v="6"/>
    <x v="1"/>
    <s v="Este documento entrega una revisión sobre la normativa acerca de las ASP privadas, como se estructura en Chile este modelo de protección. Además, entrega una primera aproximación sobre el listado y caracterización de las unidades de áreas privadas en el país."/>
    <s v="Información relevante en el análisis de la situación ambiental más detalladamente en el catastro y revisión de las áreas silvestres de protección."/>
    <s v="Si"/>
    <m/>
    <s v="MA030_AreasSilvProtegPrivadas_1999.pdf"/>
  </r>
  <r>
    <x v="105"/>
    <s v="MA"/>
    <n v="40"/>
    <x v="1"/>
    <x v="105"/>
    <x v="19"/>
    <x v="18"/>
    <x v="3"/>
    <x v="6"/>
    <x v="0"/>
    <s v="La politica de la Región del Maule tiene por objetivo hacer ambientalmente sustentable el proceso de desarrollo, velando por el derecho a vivir en un medio ambiente libre de contaminación, la protección del medio ambiente, la preservación de la naturaleza y la conservación del patrimonio ambiental. El fin último de ella es la calidad de vida de todos los chilenos y de las generaciones futuras. Para la versión final de la politica se recogieron antecedentes y opiniones de los diversos sectores ciudadanos e institucionales de la región"/>
    <s v="Información relevante en el diagnóstico ambiental"/>
    <s v="No"/>
    <m/>
    <s v="MA040_PoliticaAmbMaule_.pdf"/>
  </r>
  <r>
    <x v="106"/>
    <s v="MA"/>
    <n v="45"/>
    <x v="1"/>
    <x v="106"/>
    <x v="19"/>
    <x v="63"/>
    <x v="37"/>
    <x v="6"/>
    <x v="0"/>
    <s v="La Estrategia corresponde a un cuerpo estructurado de objetivos y prioridades que consideren el rol de los diversos protagonistas involucrados en la conservación y el uso sustentable de la biodiversidad, interesados en disminuir o evitar la pérdida de diversidad biológica de nuestro territorio. Su objetivo principal corresponde a &quot;conservar la biodiversidad nativa regional a través de la mantención de la sustentabilidad de los ecosistemas y sus especies&quot;."/>
    <s v="Información relevante en el análisis de la situación ambiental, concretamente en el análisis de áreas de protección o conservación existentes. Interesante para el diagnóstico ambiental como estrategia a la diversidad de la región. "/>
    <s v="Si"/>
    <m/>
    <s v="MA045_EstrategiaBiodiversMaule_2002.pdf"/>
  </r>
  <r>
    <x v="107"/>
    <s v="MA"/>
    <n v="50"/>
    <x v="2"/>
    <x v="107"/>
    <x v="2"/>
    <x v="23"/>
    <x v="8"/>
    <x v="6"/>
    <x v="0"/>
    <s v="Entendiendo a la fragmentación como un fenomeno derivado de actividades antropicas, este documento es relevante en cuanto revisa un estudio de caso sobre los efectos de la fragmentación en el bosque maulino. La importancia de revisar estos antecedentes corresponde a que se ha reconocido un alto grado de fragmentación en las áreas silvestres de la Región del Maule."/>
    <s v="Información relevante en el análisis de la situación ambiental concretamente en la identificación de presiones antrópicas y naturales sobre los recursos hídricos."/>
    <s v="Si"/>
    <m/>
    <s v="MA050_FragmentDinamRegenBosqueMaulino_2004.pdf"/>
  </r>
  <r>
    <x v="108"/>
    <s v="MA"/>
    <n v="61"/>
    <x v="0"/>
    <x v="108"/>
    <x v="7"/>
    <x v="64"/>
    <x v="1"/>
    <x v="7"/>
    <x v="1"/>
    <s v="Este dodcumento propone un modelo para determinar el caudal ecológico de un río incorporando un enfoque multiescalado y jerárquico. Se considera cuatro escalas de análisis: i) Hidroecoregiones, definida por condiciones climáticas e hidrológicas específicas; ii) Sistema, definido por el río en toda su extensión; iii) Tramo de río, definido por la presencia de Áreas con Importancia Ambiental (AIA) y iv) Sección, definido por áreas donde se realiza el control local de los requerimientos de caudal por cada AIA."/>
    <s v="Información relevante en el diagnóstico ambiental, Caudal ecologico."/>
    <s v="No"/>
    <s v="SIT 187"/>
    <m/>
  </r>
  <r>
    <x v="109"/>
    <s v="MA"/>
    <n v="60"/>
    <x v="0"/>
    <x v="109"/>
    <x v="7"/>
    <x v="65"/>
    <x v="9"/>
    <x v="6"/>
    <x v="1"/>
    <s v="Este documento identifica la representación actual del sistema de protección oficial existente y de evaluar el aporte del resto de los sistemas de protección existentes en Chile, se desarrollo un análisis de representatividad ecosistémica, utilizando para la parte terrestres a la vegetación zonal como descriptor de ecosistemas y a la parte marina una clasificación de zonas zoogeográficas."/>
    <s v="Información relevante en el análisis de la situación ambiental, concretamente en el análisis de áreas de protección o conservación existentes"/>
    <s v="Si"/>
    <m/>
    <s v="MA060_AnalisisRepresEcoAreasProtPublPriv_2008.pdf"/>
  </r>
  <r>
    <x v="110"/>
    <s v="MA"/>
    <n v="65"/>
    <x v="0"/>
    <x v="110"/>
    <x v="7"/>
    <x v="66"/>
    <x v="38"/>
    <x v="6"/>
    <x v="1"/>
    <s v="Es un informe de Medio Ambiente a nivel Nacional de ENDESA, del año 2007, particularizado a todas sus infraestructuras de generación eléctrica."/>
    <s v=" Información relevante en el diagnóstico Ambiental con las hidroelectricas."/>
    <s v="No"/>
    <m/>
    <s v="MA065_InfAnualMedioAmENDESA_2008.pdf"/>
  </r>
  <r>
    <x v="111"/>
    <s v="MA"/>
    <n v="70"/>
    <x v="0"/>
    <x v="111"/>
    <x v="4"/>
    <x v="67"/>
    <x v="1"/>
    <x v="6"/>
    <x v="1"/>
    <s v="El presente estudio se enmarca dentro de los compromisos adquiridos en cada una de las RCA de proyectos donde la DGA ha tenido competencia ambiental directa, respecto de la conservación y protección de los recursos hídricos, superficiales y subterráneos, teniendo como idea central levantar y conocer toda la información generada desde el año 1997 hasta la actualidad, en las variables ambientales que dicen relación con la competencia de la DGA, siendo necesario el análisis de la información levantada para cada proyecto."/>
    <s v="Información relevante en el análisis de la situación ambiental en iniciativas específicas para la región del Maule."/>
    <s v="Si"/>
    <m/>
    <s v="MA070_ControlSeguimResolCalifAmb_2009.pdf"/>
  </r>
  <r>
    <x v="112"/>
    <s v="MA"/>
    <n v="75"/>
    <x v="0"/>
    <x v="112"/>
    <x v="5"/>
    <x v="68"/>
    <x v="39"/>
    <x v="6"/>
    <x v="10"/>
    <s v="Estudio técnico de los efectos del colapso del tranque de relave Las Palmas, posterior al terremoto de febrero de 2010."/>
    <s v="Antecedentes de contaminación de suelo y aguas en la zona del tranque Las Palmas."/>
    <s v="Si"/>
    <m/>
    <m/>
  </r>
  <r>
    <x v="113"/>
    <s v="MA"/>
    <n v="80"/>
    <x v="0"/>
    <x v="113"/>
    <x v="5"/>
    <x v="13"/>
    <x v="40"/>
    <x v="6"/>
    <x v="1"/>
    <s v="Este estudio fue realizado por la Universidad de Talca, en el cual se ha levantando información primaria sobre la percepción de los principales focos de contaminación y elementos perjudiciales para el medio natural y urbano de la región del Maule."/>
    <s v=" Información relevante en el diagnóstico Ambiental sobre la contaminción."/>
    <s v="No"/>
    <m/>
    <s v="MA080_OCDEyMedioAmbChile_2010.pdf"/>
  </r>
  <r>
    <x v="114"/>
    <s v="MA"/>
    <n v="85"/>
    <x v="0"/>
    <x v="114"/>
    <x v="5"/>
    <x v="23"/>
    <x v="8"/>
    <x v="6"/>
    <x v="1"/>
    <s v="Documento preparado por el Ministerio de Medio Ambiente, donde este capitulo se refiere a la contaminación del aire, primero desde una perspectiva general y luego para centrarse en las regiones del país. De esto, hace referencia sobre los impactos de la región del Maule."/>
    <s v=" Información relevante en el diagnóstico Ambiental sobre la contaminción."/>
    <s v="No"/>
    <m/>
    <s v="MA085_ContaminacionAire_2010.pdf"/>
  </r>
  <r>
    <x v="115"/>
    <s v="MA"/>
    <n v="90"/>
    <x v="0"/>
    <x v="115"/>
    <x v="5"/>
    <x v="23"/>
    <x v="8"/>
    <x v="6"/>
    <x v="0"/>
    <s v="Este documento da cuenta de un análisis multitemporal para determinar los cambios en la cobertura del suelo en una zona de la precordillera andina de la Región del Maule, Chile. Para ello se utilizaron imágenes satelitales de los años 1989 y 2003, y se analizaron las causas probables de la deforestación del bosque nativo presente en estos ecosistemas."/>
    <s v="Información relevante en el análisis de la situación ambiental concretamente en la identificación de presiones antrópicas y naturales sobre los recursos hídricos. Cambios de cobertura del suelo, datos de deforestación, presión sobre recursos naturales incluidos los recursos hídricos. "/>
    <s v="Si"/>
    <m/>
    <s v="MA090_DeforestEcosTemplPrecor_2010.pdf"/>
  </r>
  <r>
    <x v="116"/>
    <s v="MA"/>
    <n v="95"/>
    <x v="0"/>
    <x v="116"/>
    <x v="5"/>
    <x v="23"/>
    <x v="8"/>
    <x v="6"/>
    <x v="1"/>
    <s v="Documento preparado por el Ministerio de Medio Ambiente, donde este capitulo se refiere a la contaminación de los suelos, primero desde una perspectiva general y luego para centrarse en las regiones del país. De esto, hace referencia sobre los impactos de la región del Maule."/>
    <s v=" Información relevante en el diagnóstico Ambiental sobre la contaminción."/>
    <s v="No"/>
    <m/>
    <s v="MA095_ContaminacionSuelo_2010.pdf"/>
  </r>
  <r>
    <x v="117"/>
    <s v="MA"/>
    <n v="96"/>
    <x v="0"/>
    <x v="117"/>
    <x v="5"/>
    <x v="69"/>
    <x v="41"/>
    <x v="6"/>
    <x v="1"/>
    <s v="El documento hace revisión sobre casos en los cuales proyectos han generado presión desmedida sobre los recursos naturales y con ello oposición de las organizaciones sociales locales. Para el caso del Plan Maestro destaca la revisión del proyecto de generacion hidroelectrica, denominado Centinela, el cual estará instalado en el Sitio Prioritario Alto de Achibueno."/>
    <s v=" Información relevante en el diagnóstico Ambiental con las hidroelectricas."/>
    <s v="No"/>
    <m/>
    <m/>
  </r>
  <r>
    <x v="118"/>
    <s v="MA"/>
    <n v="100"/>
    <x v="0"/>
    <x v="118"/>
    <x v="8"/>
    <x v="65"/>
    <x v="9"/>
    <x v="6"/>
    <x v="1"/>
    <s v="El presente informe da respuesta al requerimiento establecido en la legislación vigente y marca un importante avance para la gestión ambiental, como también respecto a la transparencia y el acceso público a la información. "/>
    <s v="Información relevante en el análisis de la situación ambiental, pasivos ambientales."/>
    <s v="Si"/>
    <m/>
    <s v="MA100_InformeEstadoMedioAmb_2011.pdf"/>
  </r>
  <r>
    <x v="119"/>
    <s v="MA"/>
    <n v="105"/>
    <x v="0"/>
    <x v="119"/>
    <x v="8"/>
    <x v="70"/>
    <x v="1"/>
    <x v="6"/>
    <x v="1"/>
    <s v="Minuta DCPRH Nº 267  en la que de define lo que se entiende por caudal ecológico, se establecen las atribuciones para su determinación, desde el punto de vista sectorial y ambiental y se describen las metodologías para su determinación el el marco del SEIA"/>
    <s v="Información relevante en el diagnóstico ambiental, Caudal ecologico."/>
    <s v="No"/>
    <m/>
    <s v="MA105_CriteriosMetodCaudalEcolSEIA_2011.pdf"/>
  </r>
  <r>
    <x v="120"/>
    <s v="MA"/>
    <n v="110"/>
    <x v="0"/>
    <x v="120"/>
    <x v="8"/>
    <x v="65"/>
    <x v="9"/>
    <x v="6"/>
    <x v="1"/>
    <s v="Este documento es una síntesis de la historia, institucionalidad e información sobre las áreas protegidas de Chile. Contiene información sobre todos los tipos de iniciativas de protección del patrimonio ambiental en zonas marino-costeras y terrestres, emprendidas por la administración pública y una breve descripción de su institucionalidad. El documento está organizado en 3 ejes y 12 capítulos respecto a distintos temas y componentes del medio ambiente. Cada capítulo sigue el modelo Presión-Estado-Respuesta, propuesto por la OCDE para el desarrollo de políticas ambientales e informes "/>
    <s v="Información relevante en el análisis de la situación ambiental, concretamente en el análisis de áreas de protección o conservación existentes. Contiene información de los sistemas de protección oficial existentes y evaluar el aporte del resto de los sistemas de protección en Chile, como el escenario actual áreas protegidas. "/>
    <s v="Si"/>
    <m/>
    <s v="MA110_AreasProtegChile_2011.pdf"/>
  </r>
  <r>
    <x v="121"/>
    <s v="MA"/>
    <n v="115"/>
    <x v="4"/>
    <x v="121"/>
    <x v="9"/>
    <x v="71"/>
    <x v="42"/>
    <x v="6"/>
    <x v="1"/>
    <s v="Mapas y estadísticas de Faenas Mineras, para las regiones del Maule, Biobío, Araucanía, Los Ríos, Los Lagos, Aysén y Magallanes."/>
    <s v="Listado de faenas mineras por tipo, para la región del Maule"/>
    <s v="Si"/>
    <m/>
    <m/>
  </r>
  <r>
    <x v="122"/>
    <s v="MA"/>
    <n v="120"/>
    <x v="0"/>
    <x v="122"/>
    <x v="10"/>
    <x v="72"/>
    <x v="9"/>
    <x v="6"/>
    <x v="1"/>
    <s v="El libro permite adentrarse en el conocimiento de los anfibios priorizando que el lector pueda participar activamente en la conservación y protección de estas especies de Chile. A lo largo del todo el texto destaca que los anfibios son un grupo endémico altamente amenazado en el país. Entrega información sobre la biología, diversidad, valor ambiental y cultural de los anfibios, estado de conservación y amenazas, conocimiento generado en los últimos 15 años, acciones de conservación que se están desarrollando en nuestro país, así como una muestra de imágenes y texto relativo a algunas de las especies presentes en Chile."/>
    <s v="Información relevante en el diagnóstico ambiental conocimiento de los anfibios en la región."/>
    <s v="No"/>
    <s v="ISBN 978-956-7204-46-5"/>
    <m/>
  </r>
  <r>
    <x v="123"/>
    <s v="MA"/>
    <n v="125"/>
    <x v="0"/>
    <x v="123"/>
    <x v="10"/>
    <x v="66"/>
    <x v="38"/>
    <x v="6"/>
    <x v="1"/>
    <s v="Este documento es una revisión sobre los pasivos de la empresa electrica en todas sus actividades. De esto, se menciona los pasivos medio ambientales en la regió  del maule, se caracterizan y se revisa la manera en como la empresa ha actuado en cada caso descrito. De lo anterior, se refiere a las obras que la empresa tienen en la cuenca del Maule y cuantifica la existencia de aridos."/>
    <s v=" Información relevante en el diagnóstico Ambiental con las hidroelectricas."/>
    <s v="No"/>
    <m/>
    <s v="MA125_InfAnualMedioAmENDESA_2012.pdf"/>
  </r>
  <r>
    <x v="124"/>
    <s v="MA"/>
    <n v="130"/>
    <x v="0"/>
    <x v="124"/>
    <x v="10"/>
    <x v="23"/>
    <x v="14"/>
    <x v="6"/>
    <x v="1"/>
    <s v="El estudio se enmarca en el contexto del proyecto Visión, Logros y Desafíos del Ministerio de Agricultura, 2010-2014. Esta iniciativa fue impulsada por la misma cartera, en conjunto con FIA, y consta de seis partes: un texto inicial de introducción y síntesis, seguido de cinco documentos para cubrir cada uno de los pilares que han orientado el trabajo de la institución."/>
    <s v="Información relevante en el análisis de la situación ambiental específicamente en impactos y consecuencias ambientales. Entrega Información para el análisis de la situación del agua y otros recursos y sobre todo de la presión antrópica de la actividad agrícola sobre estos recursos."/>
    <s v="Si"/>
    <m/>
    <s v="MA130_SustAmbintalDesarrollo_2013.pdf"/>
  </r>
  <r>
    <x v="125"/>
    <s v="MA"/>
    <n v="140"/>
    <x v="4"/>
    <x v="125"/>
    <x v="10"/>
    <x v="73"/>
    <x v="9"/>
    <x v="6"/>
    <x v="0"/>
    <s v="Clasificación de la flora y de la fauna silvestre permite evaluar el estado de conservación de nuestra diversidad biológica. De paso, contribuye a disminuir el riesgo de su extinción al permitir priorizar recursos y esfuerzos en aquellas especies más amenazadas. Mandatado por el artículo 37 de la ley General de Bases del Medio Ambiente (Ley 19.300), entró en operaciones el año 2005, mediante el Decreto Supremo Nº 75 de 2004 del Ministerio Secretaría General de la Presidencia, que fue remplazado en abril de 2011 por el Decreto Supremo Nº 29 de 2011 del Ministerio del Medio Ambiente, que corresponde al actual Reglamento para la Clasificación de Especies Silvestres según Estado de Conservación (RCE)."/>
    <s v=" Información relevante en el diagnóstico Ambiental catalogo de flora y fauna."/>
    <s v="No"/>
    <m/>
    <s v="MA140_EspecieEstadoConservacion_2013.xls"/>
  </r>
  <r>
    <x v="126"/>
    <s v="MA"/>
    <n v="150"/>
    <x v="0"/>
    <x v="126"/>
    <x v="6"/>
    <x v="74"/>
    <x v="8"/>
    <x v="6"/>
    <x v="1"/>
    <s v="Este documento, elaborado por Fundación Terram, entrega un exhaustivo detalle de todos los acontecimiento ambientales que marcaron el año 2014. Hace una revisión de los peores casos, entre los cuales destaca: Derrame de petróleo en la Bahía de Quintero; El Plan de Adaptación de Cambio Climático y Biodiversidad; Propuesta de reforma al Código de Aguas ingresada por el gobierno al Congreso que no incluye la problemática de los glaciares y debilita funciones del Estado; los resultados del Proyecto MAPS; que considera el impulso a la utilización de gas, represas y energía nuclear en lugar de priorizar las ERNC y la eficiencia energética; Planes de Cierre Faenas Mineras, entre otros."/>
    <s v="Información relevante en el análisis de la situación ambiental específicamente en impactos y consecuencias ambientales. "/>
    <s v="Si"/>
    <m/>
    <s v="MA150_BalAmb2014SacrifChile_2014.pdf"/>
  </r>
  <r>
    <x v="127"/>
    <s v="MA"/>
    <n v="151"/>
    <x v="1"/>
    <x v="127"/>
    <x v="6"/>
    <x v="75"/>
    <x v="9"/>
    <x v="6"/>
    <x v="0"/>
    <s v="De conformidad a las clasificaciones de especies silvestres y su categoría de conservación, el Ministerio del Medio Ambiente deberá aprobar planes de recuperación, conservación y gestión para estas especies. El reglamento definirá el procedimiento de elaboración, el sistema de información pública y el contenido de cada uno de ellos.  Por su parte, el Plan se define como instrumento administrativo que contiene el conjunto de metas, objetivos y acciones que deberán ejecutarse para recuperar, conservar y manejar una o más especies que hayan sido clasificadas en el marco del Reglamento para la Clasificación de Especies Silvestres según Estado de Conservación. Destaca además que el reglamento es explícito en mencionar que planes podrán elaborarse para cada especie en particular o para un grupo de especies, cuando éstas presenten características similares en términos de su categoría de conservación, biología, amenazas o distribución, de igual modo, los planes podrán elaborarse para su aplicación sobre la totalidad del área de distribución de las especies respectivas, o para una parte de ella, según corresponda. Todo plan que tenga por objeto recursos hidrobiológicos sometidos a medidas de conservación y a los regímenes de administración de la Ley General de Pesca y Acuicultura Nº 18.892 y sus modificaciones, deberá ser compatible con el plan de manejo establecido de conformidad con dicho cuerpo legal"/>
    <s v=" Información relevante en el diagnóstico Ambiental catalogo de especies silvestres."/>
    <s v="No"/>
    <m/>
    <m/>
  </r>
  <r>
    <x v="128"/>
    <s v="MA"/>
    <n v="160"/>
    <x v="0"/>
    <x v="128"/>
    <x v="6"/>
    <x v="17"/>
    <x v="10"/>
    <x v="6"/>
    <x v="0"/>
    <s v="Este informe considera los Problemas Ambientales y Criterios de Sustentabilidad de la Región del Maule, los cuales entregan el marco de sustentabilidad del plan, para luego sobre la base de éstos, generar los Objetivos Ambientales del Plan, los cuales consideran los aspectos que son normados en este instrumento y que cuentan con un enfoque ambiental. Asimismo, se analizan las alternativas de estructuración territorial (Escenarios Territoriales) que forman parte de la imagen objetivo que permite el diseño completo de la zonificación y la definición de las normas que forman parte del Plan, generando la respectiva evaluación de éstas, permitiendo analizar además, el escenario que será la base del proyecto de Plan."/>
    <s v="Información relevante en el análisis de la situación ambiental concretamente en la identificación de presiones antrópicas y naturales sobre los recursos hídricos. El documento incluye información relevante respecto a una perspectiva de ordenamiento territorial con incorporación medioambiental."/>
    <s v="Si"/>
    <m/>
    <s v="MA160_EvalAmbEstratPROTMaule_2014.pdf"/>
  </r>
  <r>
    <x v="129"/>
    <s v="MA"/>
    <n v="170"/>
    <x v="0"/>
    <x v="129"/>
    <x v="13"/>
    <x v="9"/>
    <x v="9"/>
    <x v="6"/>
    <x v="1"/>
    <s v="Este documento presentar una primera prueba a escala nacional de la aplicación de los criterios de la metodología de evaluación del estado de conservación de los ecosistemas de la Unión Internacional para la Conservación para la Naturaleza (IUCN), en los ecosistemas terrestres de Chile, para evaluar su aplicabilidad en el país."/>
    <s v=" Información relevante en el diagnóstico Ambiental"/>
    <s v="No"/>
    <m/>
    <s v="MA170_AplicaCriteriosIUCNEvalRiesgosEcosTerrestres_2015.pdf"/>
  </r>
  <r>
    <x v="130"/>
    <s v="MA"/>
    <n v="175"/>
    <x v="4"/>
    <x v="130"/>
    <x v="13"/>
    <x v="71"/>
    <x v="42"/>
    <x v="6"/>
    <x v="1"/>
    <s v="Catastro de depósitos de relave según estado operacional, a nivel nacional"/>
    <s v="listado de depósitos de relave para la región del Maule (2), y su estado operacional"/>
    <s v="Si"/>
    <m/>
    <m/>
  </r>
  <r>
    <x v="131"/>
    <s v="MA"/>
    <n v="176"/>
    <x v="4"/>
    <x v="131"/>
    <x v="13"/>
    <x v="76"/>
    <x v="43"/>
    <x v="6"/>
    <x v="1"/>
    <s v="Listado de descargas autorizadas por la SISS, bajo decretos DS 46/2002 y DS 90/2000."/>
    <s v="Se incluye listado de descargas autorizadas, código CIIU de emisores, lo que permite clasificar los tipos de descarga efectivas."/>
    <s v="Si"/>
    <m/>
    <m/>
  </r>
  <r>
    <x v="132"/>
    <s v="MA"/>
    <n v="180"/>
    <x v="0"/>
    <x v="132"/>
    <x v="13"/>
    <x v="65"/>
    <x v="9"/>
    <x v="6"/>
    <x v="1"/>
    <s v="El Segundo Reporte del Estado del Medio Ambiente, que constituye una de las nuevas obligaciones legales, ha sido elaborado con la colaboración de distintos servicios públicos con competencia ambiental. En esta publicación se puede rescatar las principales tendencias en el ámbito de la gestión ambiental, en la cual además se da cuenta del catastro de puntos de conflictos existentes a nivel nacional, por lo cual existe información relevante sobre la región del Maule."/>
    <s v="Información relevante en el análisis de la situación ambiental, pasivos ambientales."/>
    <s v="Si"/>
    <m/>
    <s v="MA180_SegundoReporteEstadoMedioAmb_2015.pdf"/>
  </r>
  <r>
    <x v="133"/>
    <s v="MA"/>
    <n v="185"/>
    <x v="3"/>
    <x v="133"/>
    <x v="13"/>
    <x v="77"/>
    <x v="44"/>
    <x v="7"/>
    <x v="1"/>
    <s v="El exponente entrega primeramente una revisióin sobre el concepto de caudal ecologíco. Continua con una reseña histórica del tema en Chile, realizando además un analisis de la normativa actual vigente. Continua con  los aspectos relevantes en área de ciencia e investigación en Ecohidrología en Chile, terminando con la presentación de metodología Guía Caudales Ambientales para Determinar Caudales Ambientales para Centrales Hidroeléctricas en el Sistema de Evaluación de Impacto Ambiental."/>
    <s v=" Información relevante en el diagnóstico Ambiental sobre los caudales ambientales."/>
    <s v="No"/>
    <m/>
    <m/>
  </r>
  <r>
    <x v="134"/>
    <s v="MA"/>
    <n v="186"/>
    <x v="0"/>
    <x v="134"/>
    <x v="13"/>
    <x v="78"/>
    <x v="9"/>
    <x v="6"/>
    <x v="1"/>
    <s v="El texto utiliza clasificación que el autor ya realizó para los recursos naturales del país, para las cuales  se evalua el riesgo de ecosistemas de acuerdo a la metodología propuesta por la UICN."/>
    <s v="-"/>
    <s v="No"/>
    <m/>
    <m/>
  </r>
  <r>
    <x v="135"/>
    <s v="MA"/>
    <n v="190"/>
    <x v="1"/>
    <x v="135"/>
    <x v="14"/>
    <x v="65"/>
    <x v="9"/>
    <x v="6"/>
    <x v="0"/>
    <s v="Este documento es un recuento de las acciones que los estamentos públicos desarrollarán en el país, y en especifico en la Región del Maule. Se listan los proyectos, programas, planes, etc., destinados a mejorar la gestión medio ambiental de la zona de estudio."/>
    <s v="Información relevante en el análisis de la situación ambiental concretamente en la identificación de presiones antrópicas y naturales sobre los recursos hídricos como conjunto de resultados de la gestión ambiental en el año considerado,2014. Los ámbitos son equidad ambiental, regulación ambiental, cambio climático, entre otros. "/>
    <s v="Si"/>
    <m/>
    <s v="MA190_CuentaPública2015GestMedAmbRegionMaule_2015.pdf"/>
  </r>
  <r>
    <x v="136"/>
    <s v="MA"/>
    <n v="191"/>
    <x v="4"/>
    <x v="136"/>
    <x v="14"/>
    <x v="79"/>
    <x v="45"/>
    <x v="6"/>
    <x v="1"/>
    <s v="Directorio de empresas responsables de adminsitración de rellenos sanitarios, estaciones de transferencia y vertederos en la región del Maule. Revisado en www.directorioresiduos.cl"/>
    <s v="se obtuvo listado de empresas que operan en la región"/>
    <s v="Si"/>
    <m/>
    <m/>
  </r>
  <r>
    <x v="137"/>
    <s v="MA"/>
    <n v="200"/>
    <x v="4"/>
    <x v="137"/>
    <x v="14"/>
    <x v="80"/>
    <x v="8"/>
    <x v="6"/>
    <x v="0"/>
    <s v="Corresponde a la revisión del SEIA y contiene todos los EIA que se hayan aprobado en la región del Maule,  y revisar, analizar y concluir sobre las medidas de mitigación y compensación propuestas relacionadas con los recursos hídricos."/>
    <s v="Información relevante en el análisis de la situación ambiental, más específicamente en estimación del caudal ecológico."/>
    <s v="Si"/>
    <m/>
    <s v="MA200_ProyectosSEA_2016.xls"/>
  </r>
  <r>
    <x v="138"/>
    <s v="MA"/>
    <n v="210"/>
    <x v="1"/>
    <x v="138"/>
    <x v="14"/>
    <x v="75"/>
    <x v="9"/>
    <x v="8"/>
    <x v="0"/>
    <s v="Este documento tiene relación con el comienzo del Plan de Recuperación, Conservación y Gestión del Ruil. Así, se especifica que el Ministerio del Medio Ambiente (MMA) informa que mediante la Resolución Exenta N° 0107 del 12 de febrero de 2016 ha dado inicio al proceso de elaboración del Plan de Recuperación, Conservación y Gestión de Ruil, árbol declarado En Peligro"/>
    <m/>
    <s v="No"/>
    <m/>
    <m/>
  </r>
  <r>
    <x v="139"/>
    <s v="MA"/>
    <n v="230"/>
    <x v="0"/>
    <x v="139"/>
    <x v="14"/>
    <x v="81"/>
    <x v="9"/>
    <x v="6"/>
    <x v="1"/>
    <s v="El Instituto Nacional de Estadísticas (INE), entrega  a disposición de la comunidad nacional e internacional la versión 2015 del Informe Anual de Estadísticas del Medio Ambiente. El procesamiento de los datos que se presentan, es riguroso en su presentación, validación y procesamiento, especialmente si se trata de construir series estadísticas comparables."/>
    <s v=" Información relevante en el diagnóstico Ambiental, estadistica ambiental."/>
    <s v="No"/>
    <m/>
    <s v="MA230_MedioAmbInformaAnual2015_2016.pdf"/>
  </r>
  <r>
    <x v="140"/>
    <s v="MA"/>
    <n v="231"/>
    <x v="0"/>
    <x v="140"/>
    <x v="15"/>
    <x v="66"/>
    <x v="38"/>
    <x v="6"/>
    <x v="1"/>
    <s v="El Reglamento de Caudal Ecológico Mínimo fue elaborado en conjunto por el Ministerio de Obras Públicas y del Medio Ambiente, el cual tuvo como objetivo principal asegurar la biodiversidad. Se espera que el Reglamento entregue el marco que permita asegurar la preservación de la naturaleza y proteger el medio ambiente, a través de fijar una serie de criterios para el establecimiento del Caudal Ecológico Mínimo. Este documento menciona que el caudal ecológico no podrá ser superior a un 20% del caudal medio anual de la respectiva fuente superficial y en casos calificados el Presidente de la República, previo informe del Ministerio del Medio Ambiente, podrá fijar caudales diferentes a un 20%, no pudiendo superar un 40%."/>
    <s v="-"/>
    <m/>
    <m/>
    <m/>
  </r>
  <r>
    <x v="141"/>
    <s v="MA"/>
    <n v="232"/>
    <x v="0"/>
    <x v="141"/>
    <x v="15"/>
    <x v="82"/>
    <x v="46"/>
    <x v="6"/>
    <x v="1"/>
    <s v="El Gobierno ha presentado una reforma al Código de Aguas vigente. Éste se encuentra, actualmente, en discusión en la Comisión de Recursos Hídricos y Desertificación de la Cámara de Diputados de Chile. Entre otros objetivos, lo que se persigue es modificar el concepto de derechos de aprovechamiento de aguas, limitar su uso, darles un carácter temporal a los derechos a particulares, limitar algunos derechos en situaciones especiales, como por ejemplo, temporadas de sequía, establecer causales de caducidad, facilitar la intervención de las cuencas por el Estado y reformar el sistema de pago de patente por no uso"/>
    <s v="-"/>
    <m/>
    <m/>
    <m/>
  </r>
  <r>
    <x v="142"/>
    <s v="MA"/>
    <n v="233"/>
    <x v="0"/>
    <x v="142"/>
    <x v="15"/>
    <x v="73"/>
    <x v="9"/>
    <x v="6"/>
    <x v="1"/>
    <s v="analiza las observaciones efectuadas por la Autoridad a las propuestas de caudal ecológico de cuatro proyectos hidroeléctricos de Chile (tres aprobados y uno en proceso). Los resultados indican lo siguiente: a) Las “megacentrales” reciben menos observaciones a sus estimaciones de caudal ecológico (Qeco) que las centrales medianas o pequeñas. Es probable que mientras menos agua disponible tenga el titular, éste trate de optimizarla, estableciendo menos Qeco en virtud de turbinar mayor volumen de agua; b) Existe una relación inversa entre el caudal que el Titular destine a Qeco, con la cantidad de observaciones que emite la Autoridad al respecto, lo que –finalmente- repercute en la duración del proceso de evaluación ambiental; c) El análisis de 160 observaciones efectuadas por la Autoridad a los estudios de Qeco de los cuatro proyectos estudiados, indica que corresponden básicamente a trece tipos. De ellas, siete presentan una frecuencia mayor a 5%, además, requieren tiempo y recursos para ser aclaradas. Otras seis, presentan frecuencia menor a 5% y requieren pocos recursos y tiempo. El porcentaje en el cual se presentan estas observaciones tipo (“difíciles” o “fáciles”), aumenta o disminuye según el modelo empleado por el Titular para definir Qeco; y d) La Autoridad es más afín a la propuesta del titular, cuando los métodos para definir Qeco se basan en las sugerencias de la DGA"/>
    <s v="-"/>
    <m/>
    <m/>
    <m/>
  </r>
  <r>
    <x v="143"/>
    <s v="MA"/>
    <n v="235"/>
    <x v="4"/>
    <x v="143"/>
    <x v="15"/>
    <x v="73"/>
    <x v="9"/>
    <x v="6"/>
    <x v="1"/>
    <s v="-"/>
    <s v="-"/>
    <m/>
    <m/>
    <m/>
  </r>
  <r>
    <x v="144"/>
    <s v="MA"/>
    <n v="240"/>
    <x v="4"/>
    <x v="144"/>
    <x v="15"/>
    <x v="23"/>
    <x v="8"/>
    <x v="6"/>
    <x v="0"/>
    <s v="Antecedentes obtenidos desde la Dirección General de Aguas, relativos a información sobre las áreas de restricción existentes en la Región del Maule. Estos corresponden a los acuíferos Teno Lontue y Belco Arenal."/>
    <s v="-"/>
    <s v="No"/>
    <m/>
    <s v="MA240_AreasRestringidasMaule.zip"/>
  </r>
  <r>
    <x v="145"/>
    <s v="RH"/>
    <n v="5"/>
    <x v="0"/>
    <x v="145"/>
    <x v="21"/>
    <x v="83"/>
    <x v="0"/>
    <x v="7"/>
    <x v="6"/>
    <s v="El objetivo de este Estudio es presentar los trabajos realizados en el secano, sobre las alternativas de utilización de agua realizados durante dos años, temporadas 93-94 y 94-95, orientadas a superficies no superior a 0,60 hectárea en el secano interior y no superior a una hectárea en el secano costero, considerando la utilización de vertientes cuyo caudal no escurre de la zona de origen, conocidos como &quot;charcos de agua&quot;. "/>
    <s v="  Información relevante en el diagnóstico de oferta y demanda relativo a los acuiferos."/>
    <s v="No"/>
    <m/>
    <s v="RH005_CaptacionSecanoCauquenes_1996.pdf"/>
  </r>
  <r>
    <x v="146"/>
    <s v="RH"/>
    <n v="10"/>
    <x v="0"/>
    <x v="146"/>
    <x v="21"/>
    <x v="84"/>
    <x v="1"/>
    <x v="7"/>
    <x v="2"/>
    <s v="El documento recoge el levantamiento de información hidrogeológica para luego poder establecer un modelo conceptual de la cuenca y establecer una red de estaciones de monitoreo que permita recopilar información en el tiempo para poder realizar el balance subterráneo de la misma. La elaboración de esta red básica de monitoreo forma parte de las labores a ser ejecutadas en la siguiente etapa del estudio. _x000a_Incluye las siguientes actividades: _x000a_• Recopilación y Análisis de Antecedentes._x000a_• Caracterización Hidrogeológica, la cual se compone de trabajos de terreno, caracterización geológica y geomorfológica, caracterización de los acuíferos, definición de parámetros elásticos._x000a_• Desarrollo del modelo conceptual para la cuenca._x000a_• Proposición de una red básica de monitoreo."/>
    <s v="Informe de referencia para el análisis de oferta y demanda hídrica en la cuenca de Mataquito. Dispone de datos de caudales medios mensuales. "/>
    <s v="Si"/>
    <s v="SIT31"/>
    <s v="RH010_Oferta y demandaMata_96.pdf"/>
  </r>
  <r>
    <x v="147"/>
    <s v="RH"/>
    <n v="15"/>
    <x v="0"/>
    <x v="147"/>
    <x v="22"/>
    <x v="0"/>
    <x v="1"/>
    <x v="7"/>
    <x v="0"/>
    <s v="Memoria, Anexos, Resumen Ejecutivo. Incluye E.Hidrológico e Hidrogeológico. Demandas de agua. Balance hídrico del total de los recursos hidricos, incluyendo los subterráneos, por cuencas y subcuencas. Modelo de simulación del sistema del río Cauquenes. Inventario y medidas del NP en 290 puntos de agua subterránea. Parámetros elásticos en 8 puntos. Datos de calidad del agua en 37 pozos de la Región. Estudio geofísico en el río Cauquenes (perfiles geofísicos). "/>
    <s v="Interés para cuencas de los ríos Maule, Mataquito y Cauquenes, aunque con datos del 1999. Interes para conocer la geometría en profundidad del valle del río Cauquenes (perfiles geofísicos). Interés para conocer datos de 290 puntos de agua inventariados. (No se dispone del shp de las 290 captaciones) Considera 3 sectores acuíferos en la río Maule"/>
    <s v="Si"/>
    <m/>
    <s v="RH015_ExploracRHSub_VII_Region_1999.zip"/>
  </r>
  <r>
    <x v="148"/>
    <s v="RH"/>
    <n v="20"/>
    <x v="0"/>
    <x v="148"/>
    <x v="1"/>
    <x v="0"/>
    <x v="0"/>
    <x v="7"/>
    <x v="0"/>
    <s v="El documento corresponde al Informe Final del Estudio, el cual incluye los siguientes trabajos:_x000a_- Recopilación y sistematización de toda la información disponible tanto de los recursos básicos como de las características socioeconómicas de los agricultores de las zonas de secano incluidas en el área de estudio, mediante la homogeneización y análisis crítico de estudios y proyectos existentes y en ejecución._x000a_- Compilación de información actualizada sobre los recursos básicos en las cuencas que forman el área de estudio, tales como agua. clima, suelo y caracterizar los estratos y actores que manejan estos recursos._x000a_- Digitalización de información y mapas  para toda el área del secano considerada en el estudio._x000a_- Identificación y desarrollo de proyectos piloto. que puedan postular a los beneficios de la Ley N°18.450, de Fomento a la Inversión Privada en Obras de Riego y Drenaje."/>
    <s v="Análisis de la oferta hídrica en la región y calidad de agua superficial y subterránea. Caracterización fisicoquímica con parámetros según el uso agrícola y Potable. "/>
    <s v="Si"/>
    <m/>
    <s v="RH020_Diag Rec Hidr Secano_2003.pdf"/>
  </r>
  <r>
    <x v="149"/>
    <s v="RH"/>
    <n v="30"/>
    <x v="1"/>
    <x v="149"/>
    <x v="1"/>
    <x v="0"/>
    <x v="8"/>
    <x v="7"/>
    <x v="3"/>
    <s v="En este trabajo se sistematiza la información existente sobre los recursos hídricos, y complementa el diagnóstico de la cuenca del Maule contenido en los estudios existentes, en relación con temas hídricos, ambientales, económicos, de infraestructura, institucionales y legales."/>
    <s v="Informe de interés para el análisis de oferta hídrica de la cuenca del Maule. Contiene información relevante para la demanda hídrica para varios sectores tales como hidroeléctrico, industrial, entre otros"/>
    <s v="Si"/>
    <s v="SIT90"/>
    <s v="RH030 BasesPlanDirectorv3_2003.pdf"/>
  </r>
  <r>
    <x v="150"/>
    <s v="RH"/>
    <n v="40"/>
    <x v="0"/>
    <x v="150"/>
    <x v="2"/>
    <x v="85"/>
    <x v="1"/>
    <x v="7"/>
    <x v="3"/>
    <s v="Este documento complementa los trabajos iniciados en la DGA en cuanto a elaboración de información necesaria para representar la cuenca del Río Maule, a efectos de de su modelación con el programa MAGIC. Aquellos trabajos permitieron definir preliminannente la topología de cauces y se delimitar las cuencas de cabecera e intermedias. La topología definida incluía, además de los cauces, la ubicación de los embalses, bocatomas de canales y aducciones correspondientes a la generación de  energía hidroeléctrica. En el presente Estudio se detallan  las matrices de datos de entrada que permiten representar los sistemas de  riego. La definición de los sistemas de riego requirió hacer una revisión y una adecuación de la malla de nodos. "/>
    <s v="  Información relevante en el diagnóstico oferta y demanda hidrica ademas de catastro de bocatomas y canales."/>
    <s v="No"/>
    <s v="SIT103"/>
    <s v="RH040_ModHidrolMaule_2004_dic.djvu"/>
  </r>
  <r>
    <x v="151"/>
    <s v="RH"/>
    <n v="50"/>
    <x v="0"/>
    <x v="151"/>
    <x v="27"/>
    <x v="86"/>
    <x v="1"/>
    <x v="7"/>
    <x v="3"/>
    <s v="El presente estudio se enmarca dentro de los compromisos adquiridos en cada una de las RCA de proyectos donde la DGA ha tenido competencia ambiental directa, respecto de la conservación y protección de los recursos hídricos, superficiales y subterráneos, teniendo como idea central levantar y conocer toda la información generada desde el año 1997 hasta la actualidad, en las variables ambientales que dicen relación con la competencia de la DGA, siendo necesario el análisis de la información levantada para cada proyecto."/>
    <s v="Información relevante para el análisis del balance hídrico , oferta hídrica superficial y cálculo de caudal ecológico."/>
    <s v="Si"/>
    <s v="SIT197"/>
    <s v="RH050_EvalaReHiMauleSuper_2005.pdf"/>
  </r>
  <r>
    <x v="152"/>
    <s v="RH"/>
    <n v="60"/>
    <x v="0"/>
    <x v="152"/>
    <x v="3"/>
    <x v="3"/>
    <x v="0"/>
    <x v="7"/>
    <x v="3"/>
    <s v="Este estudio fue realizado por la Universidad de Talca, en el cual se ha levantando información primaria sobre la percepción de los principales focos de contaminación y elementos perjudiciales para el medio natural y urbano de la región del Maule."/>
    <s v="Informe para el análisis de Insumos para la Gestión Hídrica y Herramientas de Análisis, como modelo  hidrológico acoplado en SIG  en el ámbito de las cuencas de Maule y Mataquito ._x000a_Incluye información para el análisis de oferta hídrica en la cuenca del Maule. Además contiene información relevante para la demanda en diferentes usos y catastro de derechos de agua. Además de información relevante en el balance hídrico_x000a_"/>
    <s v="Si"/>
    <m/>
    <s v="RH060_ModeloHidroloMauleMataqu_2006.pdf"/>
  </r>
  <r>
    <x v="153"/>
    <s v="RH"/>
    <n v="70"/>
    <x v="0"/>
    <x v="153"/>
    <x v="11"/>
    <x v="0"/>
    <x v="1"/>
    <x v="7"/>
    <x v="0"/>
    <s v="El principal objetivo del Estudio es disponer de información actualizada de la situación actual y futura de las demandas de los recursos hídricos, para diferentes usos, a nivel regional, de cuencas y subcuencas. En particular, contempla la estimación de las demandas futuras para horizontes de 10 y 25 años, identificando zonas críticas, ya sea por escasez del recurso o por uso intensivo del mismo y, finalmente, plantea las recomendaciones que permitan oportunamente reducir o eliminar los efectos que podrían_x000a_imponer al desarrollo económico y social las restricciones sobre la disponibilidad del recurso en el área de influencia de este trabajo."/>
    <s v="Se obtiene información relevante a la demanda hídrica de la región completa e incorpora información de oferta. "/>
    <s v="Si"/>
    <s v="SIT123"/>
    <s v="RH070_EstimaDemProyecFutura_2007.pdf"/>
  </r>
  <r>
    <x v="154"/>
    <s v="RH"/>
    <n v="80"/>
    <x v="1"/>
    <x v="154"/>
    <x v="7"/>
    <x v="87"/>
    <x v="1"/>
    <x v="7"/>
    <x v="3"/>
    <s v="Los objetivos específicos del Plan son los siguientes:_x000a_• Disponer del Modelo MAGIC-Maule Actualizado y Calibrado, como una herramienta de análisis que permita representar la situación actual, y para la posterior evaluación de los escenarios futuros _x000a_• Actualizar el Diagnóstico de la Cuenca elaborado en el estudio “Bases para la Elaboración del Plan Director Cuenca Río Maule” desarrollado para la DGA  por AC Ingenieros Consultores (2003)._x000a_• Efectuar un Ordenamiento y una Sistematización de la Información entregada por el diagnóstico actualizado, y obtener así las necesidades del territorio en el ámbito del agua._x000a_• Establecer Objetivos Prioritarios para la Cuenca en el ámbito del agua y los recursos naturales_x000a_• Analizar las Intervenciones del MOP propuestas para ser iniciadas en los siguientes 10 años_x000a_• Analizar las Intervenciones de otros Entes Fiscales_x000a_• Confección de la Matriz de Intervenciones/Objetivos Prioritarios en base a la cartera de proyectos actualizada_x000a_• Formular un Plan de Acciones en la Cuenca_x000a_• Realizar la Evaluación Económica del Plan,en un plan de acción de corto (5 años), mediano (10 años), y largo plazo (20 años)_x000a_• Proponer las Formas de Coordinación entre Instituciones Públicas y/o Privadas_x000a_• Validar el Plan Director Propuesto, basado en la interacción con los usuarios del agua_x000a_• Proponer los Mecanismos para la Implementación del Plan Director propuesto"/>
    <s v="Informe de interés para el análisis de oferta hídrica superficial y subterránea, demanda según usos, información hidrogeológica de la Cuenca del Río Maule. Utilización y calibración del modelo MAGIC, con los parámetros del modelo de aguas subterráneas MODFLOW. Contiene una zonificación nueva de acuíferos para ser usada en el modelo MAGIC-Maule. _x000a_ Es utilizado a demás como antecedente para obtener información sobre cantidad y calidad  de la infraestructura de riego, pozos de monitore , entro otra infomracion de interes._x000a_"/>
    <s v="Si"/>
    <s v="SIT194"/>
    <s v="RH080_PDGRH Maule Arrau_MAGIC_2008.zip"/>
  </r>
  <r>
    <x v="155"/>
    <s v="RH"/>
    <n v="90"/>
    <x v="0"/>
    <x v="155"/>
    <x v="7"/>
    <x v="3"/>
    <x v="0"/>
    <x v="7"/>
    <x v="3"/>
    <s v="El objetivo principal de este estudio fue cuantificar los caudales en las zonas de recuperación como fuentes de recursos hídricos para el subsector riego, para las cuencas, tanto controladas como no controladas, de Maule, Mataquito y Rapel, usando SIG MAGIC (CNR - DGA - 2006)."/>
    <s v="  Información relevante en el diagnóstico oferta y demanda hidrica; utilizacion de MAGIC."/>
    <s v="No"/>
    <m/>
    <s v="RH090_Caudales no controlados Maule_2008.pdf"/>
  </r>
  <r>
    <x v="156"/>
    <s v="RH"/>
    <n v="100"/>
    <x v="0"/>
    <x v="156"/>
    <x v="5"/>
    <x v="3"/>
    <x v="1"/>
    <x v="7"/>
    <x v="3"/>
    <s v="El estudio tiene como objetivo conocer el balance hídrico general, que permita a la DGA avanzar en el otorgamiento de derechos de aprovechamiento de aguas subterráneas. Adicionalmente, se propone un sistema de monitoreo de niveles de agua subterránea, conducente a evaluar la sustentabilidad de los acuíferos a futuro, ya que sólo se controlan 3 pozos en toda la cuenca y corresponde a puntos de control de la calidad del agua._x000a_Los trabajos incluyen: _x000a_• Recopilación y Análisis de Antecedentes._x000a_• Caracterización Hidrogeológica, la cual se compone de trabajos de terreno, caracterización geológica y geomorfológica, caracterización de los acuíferos, definición de parámetros elásticos._x000a_• Desarrollo del modelo conceptual para la cuenca._x000a_• Proposición de una red básica de monitoreo"/>
    <s v="Informe relevante en el análisis de recursos subterráneos y en insumos para la gestión hídrica y herramienta de análisis."/>
    <s v="Si"/>
    <s v="SIT222"/>
    <s v="RH100_Levan InformHidrol_2010_12.pdf"/>
  </r>
  <r>
    <x v="157"/>
    <s v="RH"/>
    <n v="110"/>
    <x v="1"/>
    <x v="157"/>
    <x v="9"/>
    <x v="88"/>
    <x v="17"/>
    <x v="7"/>
    <x v="0"/>
    <s v="El Plan define los  objetivos y metas para la Región del Maule al año 2021, construidas a partir de un análisis del territorio, de la infraestructura en los ámbitos urbano y rural, y de la disponibilidad de los recursos hídricos en la región; de esta manera se definen brechas que han sido la base para la identificación de la cartera de inversiones proyectada_x000a_al 2021."/>
    <s v="Revisar_x000a_Análisis de la red hidrométrica, oferta hídrica, y planeación territorial y turismo._x000a_Se obtiene un análisis territorial sobre la base de aspectos  y componentes en la región de deferentes ámbitos._x000a_"/>
    <s v="Si"/>
    <m/>
    <s v="RH110_PRIGRH_RegionMaule2021_2012.zip"/>
  </r>
  <r>
    <x v="158"/>
    <s v="RH"/>
    <n v="120"/>
    <x v="1"/>
    <x v="158"/>
    <x v="9"/>
    <x v="82"/>
    <x v="17"/>
    <x v="7"/>
    <x v="1"/>
    <s v="El documento recoge propuestas y varias iniciativas sobre el cuidado de las fuentes del agua, recargas de acuíferos, reutilización del recurso, proyectos de utilización y captación de aguas no aprovechadas, mejoramiento de los sistemas de medición y control de los acuíferos, nuevas tecnologías de telemetría para monitorear pozos y flujos de aguas, mecanización de los sistemas de compuertas de los canales de riego, utilización de estos canales como fuentes de recargas de acuíferos durante los meses de invierno y recuperación de infraestructura no utilizada."/>
    <s v="Información relevante para el análisis de planificación territorial como política orientadora en la planificación hídrica con propuestas e iniciativas. "/>
    <s v="Si"/>
    <m/>
    <s v="RH120_PolitNacRH2015_2012.pdf"/>
  </r>
  <r>
    <x v="159"/>
    <s v="RH"/>
    <n v="130"/>
    <x v="0"/>
    <x v="159"/>
    <x v="9"/>
    <x v="53"/>
    <x v="1"/>
    <x v="7"/>
    <x v="2"/>
    <s v="Los trabajos inlcuidos en este estudio incluyen:_x000a_- Generación de  la geometría basal del acuífero principal (Geofísica)_x000a_- Revisión y actualización de catastros de la demanda agrícola, sanitaria e Industrial._x000a_- Definición  y caracterización de unidades acuíferas principales_x000a_- Realización de catastro de pozos y niveles._x000a_- Representación y estimación de los flujos de agua subterránea._x000a_- Identificación de las zonas de recarga y descarga._x000a_- Obtención de parámetros hidrogeológicos del acuífero._x000a_- Representación territorial de los resultados del estudio en un SIG._x000a_- Definición de un modelo conceptual del acuífero._x000a_- Implementación de un modelo numérico de flujo preliminar de aguas subterráneas en Visual MODFLOW."/>
    <s v="Contenido relevante para la formulación de capítulo de análisis de insumos de gestión hídrica y herramientas de análisis como modelos numéricos en la cuenca del Mataquito._x000a_Además incorpora información a el análisis de los recursos hídricos subterráneos en la cuenca del Mataquito. Información hidrogeológica de esta cuenca._x000a_"/>
    <s v="Si"/>
    <s v="SIT 296"/>
    <s v="RH130_EstudioHidrogeolCuenMataq_2012.pdf"/>
  </r>
  <r>
    <x v="160"/>
    <s v="RH"/>
    <n v="135"/>
    <x v="3"/>
    <x v="160"/>
    <x v="10"/>
    <x v="89"/>
    <x v="47"/>
    <x v="7"/>
    <x v="0"/>
    <s v="Tras presentar a la DGA como el organismo público encargado de la gestión del agua como recurso, indicando sus principales atribuciones y tareas, realiza una breve descripción de las cuencas hidroográficas incluidas en la Región y de las Áreas involucradas en la gestión a nivel regional Finalmente, parece señalar los desafíos más importantes en dicha gestión, aunque en esta Presentación no quedan explicitados."/>
    <s v=" Información relevante en el diagnóstico oferta y demanda hidrica ."/>
    <s v="No"/>
    <m/>
    <s v="RH135_RegionMauleDesafiosGestionRH_2013.pdf"/>
  </r>
  <r>
    <x v="161"/>
    <s v="RH"/>
    <n v="140"/>
    <x v="5"/>
    <x v="161"/>
    <x v="6"/>
    <x v="90"/>
    <x v="48"/>
    <x v="7"/>
    <x v="0"/>
    <s v="El objetivo general de este trabajo es describir la situación actual de la cuenca Purapel en Nirivilo en cuanto a demanda, oferta y valoración del servicio ecosistémico (SE) provisión de agua. Con el fin de establecer la demanda de agua de la cuenca, se solicitó a la Dirección General de Aguas datos de derechos de agua otorgados. Utilizando el área de la cuenca, se implementó la ecuación propuesta por Little et al. (2009) para obtener la oferta. Finalmente, entrevistas a la población y cuestionarios a actores claves fueron aplicados para establecer la valoración social del SE “provisión de agua”. Para comparar y discutir resultados se utilizaron dos subcuencas de estudio: Agua Fría y Nirivilo. Estas mostraron un balance negativo en cuanto a oferta/demanda de agua, mientras la cuenca de Purapel mostró uno positivo. La población en general le entrega una alta valoración al SE “provisión de agua”, mostrando interés en conservar el recurso."/>
    <s v="Información relevante para el balance hídrico en la cuenca del río Maule y análisis hidrogeológico de la misma._x000a_Entrega información clave de valoración de servicios ecosistémicos para generar futuros planes de conservación de los mismos."/>
    <s v="Si"/>
    <m/>
    <s v="RH140_OfertaYdemadaPurapel_2014.pdf"/>
  </r>
  <r>
    <x v="162"/>
    <s v="RH"/>
    <n v="150"/>
    <x v="0"/>
    <x v="162"/>
    <x v="6"/>
    <x v="23"/>
    <x v="1"/>
    <x v="7"/>
    <x v="0"/>
    <s v="El estudio tiene por objetivo evaluar los recursos hídricos subterráneos de los sectores hidrogeológicos de aprovechamiento común definidos como Maule Medio Norte y Medio Maule Sur, conservando los valores de recarga utilizados en el estudio SDT Nº 139  de 2011. Se estima la disponibilidad de volumen total anual factible de otorgar como derechos de aprovechamiento de agua subterránea."/>
    <s v="Información relevante para el análisis de eventos en el Rio Teno como los caudales máximos en la estación de estudio."/>
    <s v="Si"/>
    <s v="SDT 362"/>
    <s v="RH150_EvaRecuHidrSubterrMaule_2014.pdf"/>
  </r>
  <r>
    <x v="163"/>
    <s v="RH"/>
    <n v="160"/>
    <x v="1"/>
    <x v="163"/>
    <x v="13"/>
    <x v="91"/>
    <x v="49"/>
    <x v="7"/>
    <x v="1"/>
    <s v="Recoge el potencial hidroeléctrico y los elementos y actividades valiosas para las comunidades en sus territorios, generando una base de información relevante para sostener un diálogo más transparente sobre hidroelectricidad en las principales cuencas del país. Este estudio identificad 39 Objetos de Valoración de índole ecosistémica, social, cultural y productiva que pueden verse afectados por la implementación de un proyecto hidroeléctrico, y señala aquellas cuencas donde estos Objetos conviven con un potencial hidroeléctrico aún no desarrollado."/>
    <s v=" Información relevante en el diagnóstico oferta y demanda hidrica respecto a las hidroelecticas."/>
    <s v="No"/>
    <m/>
    <s v="RH160_BasesPlanifTerrDesarHidroElecFut_2015.pdf"/>
  </r>
  <r>
    <x v="164"/>
    <s v="RH"/>
    <n v="170"/>
    <x v="0"/>
    <x v="164"/>
    <x v="13"/>
    <x v="92"/>
    <x v="50"/>
    <x v="7"/>
    <x v="3"/>
    <s v="Ficha resumen de la cuenca, con información general hidrológica, hidrogeológica, hidrométrica, sanitaria, ambiental, administratica y de organizaciones de usuarios"/>
    <s v="Información relevante para el análisis de oferta y demanda hídrica."/>
    <s v="Si"/>
    <m/>
    <s v="RH170_InfoHidrCuencasPrioriFichaRioMaule_2015.pdf"/>
  </r>
  <r>
    <x v="165"/>
    <s v="SAP"/>
    <n v="10"/>
    <x v="0"/>
    <x v="165"/>
    <x v="1"/>
    <x v="0"/>
    <x v="0"/>
    <x v="8"/>
    <x v="0"/>
    <s v="Entendiendo a la fragmentación como un fenomeno derivado de actividades antropicas, este documento es relevante en cuanto revisa un estudio de caso sobre los efectos de la fragmentación en el bosque maulino. La importancia de revisar estos antecedentes corresponde a que se ha reconocido un alto grado de fragmentación en las áreas silvestres de la Región del Maule."/>
    <s v=" Información relevante en el diagnóstico oferta y demanda silvoagropecuaria respecto a las actividades antropicas."/>
    <s v="No"/>
    <m/>
    <s v="SAP010_DiagnoRiegoDrenaje_2003.pdf"/>
  </r>
  <r>
    <x v="166"/>
    <s v="SAP"/>
    <n v="20"/>
    <x v="4"/>
    <x v="166"/>
    <x v="11"/>
    <x v="93"/>
    <x v="51"/>
    <x v="8"/>
    <x v="0"/>
    <s v="Documento preparado por el Ministerio de Medio Ambiente, donde este capitulo se refiere a la contaminación del aire, primero desde una perspectiva general y luego para centrarse en las regiones del país. De esto, hace referencia sobre los impactos de la región del Maule."/>
    <s v="  Información relevante en el diagnóstico de la contaminacion par el apartado de medio ambiente"/>
    <s v="No"/>
    <m/>
    <s v="SAP020_CensoAgropecuario_2007.zip"/>
  </r>
  <r>
    <x v="167"/>
    <s v="SAP"/>
    <n v="30"/>
    <x v="2"/>
    <x v="167"/>
    <x v="8"/>
    <x v="94"/>
    <x v="52"/>
    <x v="8"/>
    <x v="1"/>
    <s v="Este documento es una síntesis de la historia, institucionalidad e información sobre las áreas protegidas de Chile. Contiene información sobre todos los tipos de iniciativas de protección del patrimonio ambiental en zonas marino-costeras y terrestres, emprendidas por la administración pública y una breve descripción de su institucionalidad. El documento está organizado en 3 ejes y 12 capítulos respecto a distintos temas y componentes del medio ambiente. Cada capítulo sigue el modelo Presión-Estado-Respuesta, propuesto por la OCDE para el desarrollo de políticas ambientales e informes "/>
    <s v="  Información relevante en el diagnóstico de la contaminacion par el apartado de medio ambiente"/>
    <s v="No"/>
    <m/>
    <s v="SAP030_AnalisisDeficitHidricoAgricultura_2011.pdf"/>
  </r>
  <r>
    <x v="168"/>
    <s v="SAP"/>
    <n v="40"/>
    <x v="1"/>
    <x v="168"/>
    <x v="8"/>
    <x v="95"/>
    <x v="0"/>
    <x v="8"/>
    <x v="4"/>
    <s v="Esta fase de ejecución del Programa tiene por objetivo el asegurar un aprovechamiento óptimo, equitativo y sustentable de los recursos hídricos en la zona de influencia del proyecto de mejoramiento del embalse Tutuvén, para lo cual se debían crear las condiciones necesarias para una adecuada administración del agua de riego y un mejor_x000a_manejo del recurso del embalse, a través, del fortalecimiento de la organización de regantes en ámbitos operacionales, organizacionales, legales y de infraestructura. Y preparar a los agricultores para que mejoren su capacidad de aprovechamiento del agua disponible a nivel predial, fomentando la incorporación de un riego más eficiente y la adopción de producciones agropecuarias más competitivas, a través, de transferencia de conocimiento y habilidades, como también de implementación de proyectos concretos."/>
    <s v="  Información relevante en el diagnóstico de la contaminacion par el apartado de medio ambiente"/>
    <s v="No"/>
    <m/>
    <s v="SAP040_ProgDesarrRiegoTutuven_2011.pdf"/>
  </r>
  <r>
    <x v="169"/>
    <s v="SAP"/>
    <n v="50"/>
    <x v="4"/>
    <x v="169"/>
    <x v="9"/>
    <x v="96"/>
    <x v="53"/>
    <x v="8"/>
    <x v="0"/>
    <s v="Este informe considera los Problemas Ambientales y Criterios de Sustentabilidad de la Región del Maule, los cuales entregan el marco de sustentabilidad del plan, para luego sobre la base de éstos, generar los Objetivos Ambientales del Plan, los cuales consideran los aspectos que son normados en este instrumento y que cuentan con un enfoque ambiental. Asimismo, se analizan las alternativas de estructuración territorial (Escenarios Territoriales) que forman parte de la imagen objetivo que permite el diseño completo de la zonificación y la definición de las normas que forman parte del Plan, generando la respectiva evaluación de éstas, permitiendo analizar además, el escenario que será la base del proyecto de Plan."/>
    <s v="  Información relevante en el diagnóstico de la contaminacion par el apartado de medio ambiente en los problemas ambientales."/>
    <s v="No"/>
    <m/>
    <s v="SAP050_Catastro_Agroindustrial_2012.pdf"/>
  </r>
  <r>
    <x v="170"/>
    <s v="SAP"/>
    <n v="60"/>
    <x v="0"/>
    <x v="170"/>
    <x v="9"/>
    <x v="93"/>
    <x v="51"/>
    <x v="8"/>
    <x v="1"/>
    <s v="Este documento presenta una primera prueba a escala nacional de la aplicación de los criterios de la metodología de evaluación del estado de conservación de los ecosistemas de la Unión Internacional para la Conservación para la Naturaleza (IUCN), en los ecosistemas terrestres de Chile, para evaluar su aplicabilidad en el país."/>
    <s v="  Información relevante en el diagnóstico de la contaminacion par el apartado de medio ambiente, conservación de los ecosistemas."/>
    <s v="No"/>
    <m/>
    <s v="SAP060_CambiosTerritorialesTecnRiegoChile_2012.pdf"/>
  </r>
  <r>
    <x v="171"/>
    <s v="SAP"/>
    <n v="70"/>
    <x v="1"/>
    <x v="171"/>
    <x v="10"/>
    <x v="97"/>
    <x v="0"/>
    <x v="8"/>
    <x v="1"/>
    <s v="El Segundo Reporte del Estado del Medio Ambiente, que constituye una de las nuevas obligaciones legales, ha sido elaborado con la colaboración de distintos servicios públicos con competencia ambiental. En esta publicación se puede rescatar las principales tendencias en el ámbito de la gestión ambiental, en la cual además se da cuenta del catastro de puntos de conflictos existentes a nivel nacional, por lo cual existe información relevante sobre la región del Maule."/>
    <s v="  Información relevante en el diagnóstico de la contaminacion par el apartado de medio ambiente"/>
    <s v="No"/>
    <m/>
    <s v="SAP070_ProgrTransfDesarrolloRiegoAncoa_2013.pdf"/>
  </r>
  <r>
    <x v="172"/>
    <s v="SAP"/>
    <n v="80"/>
    <x v="4"/>
    <x v="172"/>
    <x v="14"/>
    <x v="93"/>
    <x v="51"/>
    <x v="8"/>
    <x v="0"/>
    <s v="Este Catastro ODEPA es una actualización a enero de 2016, su contenido está representado por tablas y cuadros referidos a: i) Economía Regional, ii) Aspectos Geográficos y Demográficos, iii) Perfil de los productores, iv) Cultivos, Censal y Anual, v) Ganadería y riegos, vi) Exportaciones, vii) División Política y Administrativa, viii) Autoridades, y ix) Antecedentes sociales Regionales."/>
    <s v="  Información relevante en el diagnóstico de la contaminacion par el apartado de medio ambiente y demanda hidrica."/>
    <s v="No"/>
    <m/>
    <s v="SAP080_Catastro ODEPA_2016.pdf"/>
  </r>
</pivotCacheRecords>
</file>

<file path=xl/pivotCache/pivotCacheRecords2.xml><?xml version="1.0" encoding="utf-8"?>
<pivotCacheRecords xmlns="http://schemas.openxmlformats.org/spreadsheetml/2006/main" xmlns:r="http://schemas.openxmlformats.org/officeDocument/2006/relationships" count="173">
  <r>
    <s v="CA010"/>
    <s v="CA"/>
    <n v="10"/>
    <x v="0"/>
    <s v="ANÁLISIS REDES VIGILANCIA CALIDAD AGUAS TERRESTRES. ESTADISTICA HIDROQUIMICA NACIONAl. ETAPA l. SEPTlMA REGION"/>
    <n v="1994"/>
    <s v="Ayala, Cabrera y Asociados Ltda."/>
    <s v="Comisión Nacional de Riego (CNR)"/>
    <x v="0"/>
    <s v="Regional"/>
    <s v="Efectúa un ordenamiento y procesamiento de toda la información de calidad de aguas, disponible en el Banco Nacional de Aguas y en el Laboratorio Ambiental de la DGA, desde 1980 hasta la fecha, representando gráficamente la estadística hidroquímica nacional._x000a_Presenta los resultados obtenidos correspondiente a la VII Región."/>
    <s v="Información relevante en el análisis de calidad da agua en la cuenca del Río Maule y Río Mataquito. Caracterización físico-química. "/>
    <s v="Si"/>
    <m/>
  </r>
  <r>
    <s v="CA030"/>
    <s v="CA"/>
    <n v="30"/>
    <x v="0"/>
    <s v="MEJORAMIENTO DE CALIDAD DE AGUAS DE RIEGO"/>
    <n v="2003"/>
    <s v="JUN KUROSAWA"/>
    <s v="Comisión Nacional de Riego (CNR)"/>
    <x v="0"/>
    <s v="Nacional"/>
    <s v="Se resumen las propuestas realizadas en relación al mejoramiento de calidad de aguas de riego. En cuanto al contenido, puede consideras básico para expertos en el sector pero está destinado a personal de rubro agrícola. Contempla nociones generales sobre la calidad de aguas de Riego, instrucciones de la metodología para la determinación de calidad hídrica mediante comunidades Biológicas en Chile, estrategias de control de eutrofización de aguas de riego, consideración sobre la Metodología para la determinación  de la calidad de agua mediante comunidades Biológicas en la Cuenca de Rio Maipo"/>
    <s v="Información de relevante para el análisis de calidad de aguas en el regadío específicamente. Estrategias de Control de eutrofización"/>
    <s v="Si"/>
    <m/>
  </r>
  <r>
    <s v="CA040"/>
    <s v="CA"/>
    <n v="40"/>
    <x v="0"/>
    <s v="DIAGNOSTICO Y CLASIFICACIÓN DE LOS CURSOS Y CUERPOS DE AGUA SEGÚN OBJETIVOS DE CALIDAD, CUENCA MATAQUITO"/>
    <n v="2004"/>
    <s v="CADE INDIPE"/>
    <s v="Dirección General de Aguas (DGA)"/>
    <x v="0"/>
    <s v="Cuenca Mataquito"/>
    <s v="El estudio se centra en 7 cauces: río Mataquito,  río Teno, río Lontué, río Colorado, río Claro, río Patos de San Pedro y estero Upeo._x000a_Incluye una descripción general de la cuenca (sistema físico natural, flora y fauna, sistemas humanos, y usos del suelo), caracteriza el régimen hidrológico de cada uno de ellos en base a los caudales mensuales y la calidad del agua según diferentes parámetros (conductividad eléctrica, DBO5, oxígeno disuelto, pH, sólidos en suspensión y coliformes fecales) y el contenido de diferentes elementos (sulfatos, cobre, cromo, hierro, manganeso, molibdeno, aluminio)"/>
    <s v="Información relevante para el diagnóstico de calidad de aguas en la Cuenca del Mataquito tales como información fluviométricas, descargas a cursos de Agua y datos de monitoreo."/>
    <s v="No"/>
    <m/>
  </r>
  <r>
    <s v="CA045"/>
    <s v="CA"/>
    <n v="45"/>
    <x v="0"/>
    <s v="DIAGNOSTICO Y CLASIFICACIÓN DE LOS CURSOS Y CUERPOS DE AGUA SEGÚN OBJETIVOS DE CALIDAD. INFORME FINAL"/>
    <n v="2004"/>
    <s v="CADE INDIPE"/>
    <s v="Dirección General de Aguas (DGA)"/>
    <x v="0"/>
    <s v="Cuenca Mataquito"/>
    <s v="Establece un procedimiento para clasificar los cursos de agua superficiales de acuerdo a las Instrucciones para la dictación de Normas Secundarias de Calidad Ambiental para Aguas Continentales Superficiales, contenidas en el Instructivo_x000a_Presidencial,  como también su aplicación en las cuencas prioritarias del país.  _x000a_Los objetivos específicos del estudio, en el marco de las cuencas seleccionadas, son:_x000a_• Identificar los factores que inciden o puedan incidir en el futuro en la calidad del agua;_x000a_• Establecer la calidad natural de cursos de agua; _x000a_• Caracterizar la calidad actual y su variabilida espacial y temporal_x000a_• Caracterizar usos actuales y futuros in situ y extractivos_x000a_• Establecer un índice de cumplimiento de calidad objetivo I-2_x000a_• Definir procedimientos para el establecimiento de la zona de dilución (zonas de mezcla o de exclusión), y aplicar a la situación actual de los cursos en estudio._x000a_• Identificar los cursos de agua que estarán bajo incumplimiento de norma_x000a_• Diseñar un Plan de Monitoreo Estándar_x000a_• Elaborar un Informe Público sobre la calidad de los cursos de agua."/>
    <s v="información relevante para el diagnóstico de calidad de aguas como herramienta de información geográfica( ejes de los cuaces), segmentación según informe; factores que inciden en  la calidad del agua; y otros. "/>
    <s v="No"/>
    <m/>
  </r>
  <r>
    <s v="CA050"/>
    <s v="CA"/>
    <n v="50"/>
    <x v="0"/>
    <s v="DIAGNOSTICO Y CLASIFICACIÓN DE LOS CURSOS Y CUERPOS DE AGUA SEGÚN OBJETIVOS DE CALIDAD. CUENCA DEL RÍO MAULE"/>
    <n v="2004"/>
    <s v="CADE INDIPE"/>
    <s v="Dirección General de Aguas (DGA)"/>
    <x v="0"/>
    <s v="Cuenca Maule"/>
    <s v="El estudio se centra en varios cauces de la cuenca del Maule: río Maule, río Claro-Talca, río Claro-embalse Colbún, río Lircay, río Loncomilla,  río Ancoa, río Cauquenes, río Perquilauquén, estero Curipeumo, río Purapel, río Longaví, río Achibueno, río Putagán, estero Los Puercos, río Melado._x000a_Incluye una descripción general de la cuenca (sistema físico natural, flora y fauna, sistemas humanos, y usos del suelo), caracteriza el régimen hidrológico de cada uno de ellos en base a los caudales mensuales y la calidad del agua según diferentes parámetros (conductividad eléctrica, DBO5, oxígeno disuelto, pH, sólidos en suspensión y coliformes fecales) y el contenido de diferentes elementos (sulfatos, cobre, cromo, hierro, manganeso, molibdeno, aluminio)"/>
    <s v="También contiene información relevante para el diagnóstico de demanda del recursos como los uso de agua por cuenca."/>
    <s v="Si"/>
    <m/>
  </r>
  <r>
    <s v="CA055"/>
    <s v="CA"/>
    <n v="55"/>
    <x v="0"/>
    <s v="ESTUDIO DE CALIDAD DE AGUAS SUBTERRÁNEAS EN LAS CUENCAS DE HUASCO Y MATAQUITO. RESUMEN EJECUTIVO"/>
    <n v="2006"/>
    <s v="GCF Ingenieros consultores"/>
    <s v="Comisión Nacional de Riego (CNR)"/>
    <x v="0"/>
    <s v="Cuenca Mataquito"/>
    <s v="Estudio que tiene como objetivo general determinar el estado actual de contaminación de los acuíferos de las Cuencas de Huasco y Mataquito, producto de la actividad agrícola y otras fuentes, y analizar ante diversos escenarios de desarrollo y explotación, el comportamiento del sistema subterráneo y los efectos generados sobre los pozos existentes, ya sea de riego como de agua potable._x000a_Incluye colección de diferentes planos temáticos de las cuencas del río Huasco (12 planos)  y del río Mataquito (16 planos), a escalas varias (1:100.000; 1:150.000 y 1:250.000) "/>
    <s v="Volumen 6 : Cuenca de Mataquito, Cuenca del Maule."/>
    <s v="Si"/>
    <m/>
  </r>
  <r>
    <s v="CA060"/>
    <s v="CA"/>
    <n v="60"/>
    <x v="1"/>
    <s v="PROGRAMA GESTIÓN DE LA CALIDAD DEL AGUA POR PARTE DE ORGANIZACIONES DE REGANTES. INFORME FINAL"/>
    <n v="2009"/>
    <s v="Sociedad Río Longaví"/>
    <s v="Comisión Nacional de Riego (CNR)"/>
    <x v="0"/>
    <s v="Regional"/>
    <s v="El objeto del programa es contribuir a la protección de la calidad de los recursos hídricos del país, a través de la capacitación de las organizaciones de regantes y sus usuarios, para que puedan gestionar la calidad de sus aguas de riego"/>
    <s v="Información relevante en el análisis de calidad da agua y líneas de estrategia de gestión de la cuenca del Río Maule. Además contiene información relevante para la caracterización turística de la región. "/>
    <s v="Si"/>
    <m/>
  </r>
  <r>
    <s v="CA070"/>
    <s v="CA"/>
    <n v="70"/>
    <x v="2"/>
    <s v="CONTAMINACIÓN DEL AGUA EN LA REGIÓN DEL MAULE Y BIOBÍO"/>
    <n v="2010"/>
    <s v="Estefania Peredo Ñuñez"/>
    <s v="Revista Interamericana de Ambiente y Turismo Volumen 6"/>
    <x v="0"/>
    <s v="Regional"/>
    <s v="El objetivo de este trabajo es analizar la contaminación del agua en la séptima y octava región de Chile, explicando sus consecuencias, las enfermedades que se producen, los mayores contaminantes, entre otros. Además de especificar los índices de consumo de agua en Chile. El trabajo fue realizado a través de una revisión bibliográfica de fuentes secundarias que se relacionaban con el tema de la contaminación hídrica. Se concluye que la contaminación del agua provoca enfermedades y daños irreversibles para el ser humano y para el medio ambiente."/>
    <s v="Información relevante en el análisis de calidad da agua sobre la contaminación de agua en la séptima región."/>
    <s v="Si"/>
    <m/>
  </r>
  <r>
    <s v="CA080"/>
    <s v="CA"/>
    <n v="80"/>
    <x v="0"/>
    <s v="ANALISIS CRÍTICO DE LA RED DE CALIDAD DE AGUAS SUPERFICIALES Y SUBTERRANEAS DE LA DGA"/>
    <n v="2014"/>
    <s v="Infraestructura y Ecología S.A."/>
    <s v="Dirección General de Aguas (DGA)"/>
    <x v="0"/>
    <s v="Nacional"/>
    <s v="El objetivo general del estudio es reformular la red de calidad de aguas superficiales y subterráneas de la DGA a través del análisis crítico de los datos históricos. _x000a_El informe da cuenta del diagnóstico de la Red de Calidad de Aguas actual, a partir de un análisis estadístico de las series de datos de monitoreo y de las características actuales del territorio nacional a nivel de cuencas hidrográficas; y da una propuesta de reformulación de la Red de Calidad de Aguas, donde se establecen los criterios generales y comunes para definir las estaciones, parámetros y frecuencia de monitoreo en todo el territorio nacional continental."/>
    <s v="Información relevante en el análisis de calidad da agua superficial  y subterránea que contiene un análisis de la data histórica de calidad de aguas de la DGA a nivel de Subcuenca."/>
    <s v="Si"/>
    <s v="SIT 337"/>
  </r>
  <r>
    <s v="CC005"/>
    <s v="CC"/>
    <n v="5"/>
    <x v="1"/>
    <s v="ESTRATEGIA NACIONAL DE CAMBIO CLIMATICO"/>
    <n v="2006"/>
    <s v="Comité Nacional Asesor sobre Cambio Global"/>
    <s v="Gobierno de Chile"/>
    <x v="1"/>
    <s v="Nacional"/>
    <s v="Comprende una sección (1) de Diagnóstico y Justificación, en la que se presenta una reseña de la problemática ambiental asociada al cambio climático, incluidas las posibles consecuencias para Chile así como las oportunidades que ofrece la implementación de la Convención Marco de las Naciones Unidas sobre Cambio Climático y su  Protocolo de Kyoto; una sección (2) sobre los Ejes de la Estrategia y una sección (3) que contiene los Objetivos por cada eje propuesto"/>
    <s v="Información relevante para el diagnosticó de oferta y demanda hídrica además de diagnóstico ambiental para considerar el cambio climático dentro de estos apartados"/>
    <s v="No"/>
    <m/>
  </r>
  <r>
    <s v="CC006"/>
    <s v="CC"/>
    <n v="6"/>
    <x v="0"/>
    <s v="ESTUDIO DE LA VARIABILIDAD CLIMATICA EN CHILE PARA EL SIGLO XXI. INFORME FINAL"/>
    <n v="2006"/>
    <s v="Universidad de Chile"/>
    <s v="CONAMA/ODEPA"/>
    <x v="1"/>
    <s v="Nacional"/>
    <s v="Analiza el clima observado durante la parte final del siglo XX y su proyección hacia fines del presente siglo, estimando escenarios climáticos para diferentes regiones de Chile en el periodo 2071-2100, asociados a un cambio climático global resultante de un incremento sostenido de los gases de efecto invernadero."/>
    <s v="Información relevante para el diagnosticó de oferta y demanda hídrica además de diagnóstico ambiental para considerar el cambio climático dentro de estos apartados"/>
    <s v="No"/>
    <m/>
  </r>
  <r>
    <s v="CC010"/>
    <s v="CC"/>
    <n v="10"/>
    <x v="0"/>
    <s v="ANÁLISIS DE VULNERABILIDAD SILVOAGROPECUARIA, RECURSOS HÍDRICOS Y EDÁFICOS DE CHILE FRENTE A ESCENARIOS DE CAMBIO CLIMÁTICO. INFORME FINAL"/>
    <n v="2008"/>
    <s v="Universidad de Chile"/>
    <s v="CONAMA/ODEPA"/>
    <x v="1"/>
    <s v="Nacional"/>
    <s v="Se presenta un análisis de la vulnerabilidad del sector agrícola frente al escenario de Cambio Climático A2 al año 2040. Los impactos de los cambios climáticos sobre la productividad de estos recursos, fueron determinados a través del modelo SIMPROC (Simulador de la Productividad de Cultivos). Para el sector agrícola se modeló el rendimiento de cultivos tanto en riego como secano, de maíz, trigo, papa, frejol y remolacha; y de frutales (vides, manzano, duraznos y naranjos). En el sector forestal se modeló la productividad de pino y eucalipto, y para determinar los impactos en el sector ganadero, se modeló la productividad de praderas. En una segunda parte, se resumen los resultados de los informes de los sectores recursos hídricos y edáficos para implementar los impactos globales de estos tres sectores sobre el ambiente físico."/>
    <s v="Información relevante para el análisis de  cambio climático, determinación de la influencia de la Niña en el territorio. "/>
    <s v="Si"/>
    <m/>
  </r>
  <r>
    <s v="CC020"/>
    <s v="CC"/>
    <n v="20"/>
    <x v="0"/>
    <s v="ANÁLISIS DE VULNERABILIDAD DE LOS RECURSOS HÍDRICOS DE CHILE FRENTE A ESCENARIOS DE CAMBIO CLIMÁTICO. RÍO PERQUILAUQUEN EN SAN MIGUEL"/>
    <n v="2008"/>
    <s v="Universidad de Chile"/>
    <s v="CONAMA/ODEPA"/>
    <x v="1"/>
    <s v="Subcuenca del Maule"/>
    <s v="En este informe se aborda el impacto sobre los recursos hídricos futuros de una poblaación mundial en continuo crecimiento (escenario A2 definido por el Grupo Intesgubernamenal de Expertos sobre Cambi Climático). El impacto que tendrá en la escorrentía y disponibilidad del recurso frente a los posibles cambios de temperatura, evaporación y precipitación, correspondientes a este escenario A2, se cuantifica mediante la calibración de modelos de simulación hidrológica en nueve cuencas chilenas situadas entre la IV y la IX Región . Este análisis se enfoca por cuencas (nueve cuencas, nueve modelos de simulación)."/>
    <s v="Información relevante para el análisis del cambio climático, vulnerabilidad del sector silvoagropecuario en San Miguel."/>
    <s v="Si"/>
    <m/>
  </r>
  <r>
    <s v="CC030"/>
    <s v="CC"/>
    <n v="30"/>
    <x v="0"/>
    <s v="DIAGNÓSTICO DE LOS DESAFÍOS PLANTEADOS POR EL CAMBIO CLIMÁTICO EN CHILE. INFORME FINAL"/>
    <n v="2010"/>
    <s v="Universidad Católica de Chile"/>
    <s v="Banco Interamericano de Desarrollo (BID)"/>
    <x v="1"/>
    <s v="Nacional"/>
    <s v="El cambio climático presenta importantes desafíos tanto en la adaptación a sus impactos, como en la mitigación de las emisiones que lo provocan. En el presente estudio se revisan los impactos que el fenómeno generaría en Chile, las opciones de mitigación de emisiones más eficientes, los desafíos que estos implican y se analiza el contexto institucional en que se desarrollan, generando además propuestas, lo que permitirá la elaboración de estrategias concretas para enfrentar el cambio climático en Chile._x000a_Para proyectar los impactos futuros del cambio climático en Chile se utilizaron dos escenarios de emisiones mundiales de GEI. El primero representa un escenario alto en emisiones, que constituye un futuro sin modificar los comportamientos actuales y el_x000a_segundo representa un futuro donde las emisiones son más moderadas. Las proyecciones indican, para ambos escenarios, un alza en las temperaturas medias, así como una disminución de las precipitaciones en gran parte de la superficie nacional."/>
    <s v="Información relevante para el análisis del cambio climático déficit hídrico. "/>
    <s v="Si"/>
    <m/>
  </r>
  <r>
    <s v="CC040"/>
    <s v="CC"/>
    <n v="40"/>
    <x v="0"/>
    <s v="DETERMINACIÓN DE LA EROSIÓN ACTUAL Y POTENCIAL DE LOS SUELOS. REGIÓN DEL MAULE. SÍNTESIS DE RESULTADOS"/>
    <n v="2010"/>
    <s v="Centro de Información de Recursos Naturales (CIREN)"/>
    <s v="CORFO"/>
    <x v="1"/>
    <s v="Regional"/>
    <s v="Elaboración de la cartografía de erosión potencial y actual de suelos a nivel semidetallado 1:50.000 y generalizado a escala 1:250.000 en todo el país, utilizando técnicas de geomática, teledetección y SIG"/>
    <s v="Información relevante para el análisis del cambio climático, erosión actual y potencial."/>
    <s v="Si"/>
    <m/>
  </r>
  <r>
    <s v="CC060"/>
    <s v="CC"/>
    <n v="60"/>
    <x v="1"/>
    <s v="FORTALECIMIENTO DE CAPACIDADES DE LOS ENCARGADOS DE LA FORMULACIÓN DE POLÍTICAS PARA HACER FRENTE AL CAMBIO CLIMÁTICO EN IBEROAMÉRICA EVALUACIÓN DEL IMPACTO SOCIAL DEL CAMBIO CLIMÁTICO EN CHILE. INFORME FINAL"/>
    <n v="2011"/>
    <s v="Pontificia Universidad Católica de Chile\Centro de Cambio Global UC"/>
    <s v="Ministerio de Medio Ambiente / PENUD"/>
    <x v="1"/>
    <s v="Nacional"/>
    <s v="Determina los impactos sociales probables a mediano plazo del cambio climático en Chile en el sector silvoagropecuario. Los resultados de esta consultoría servirán para alimentar la estrategia de adaptación que desarrollará el Ministerio de Agricultura, con apoyo del Ministerio de Medio Ambiente, para este sector."/>
    <s v="Información relevante para el diagnosticó de oferta y demanda hídrica además de diagnóstico ambiental para considerar el cambio climático dentro de estos apartados"/>
    <s v="No"/>
    <m/>
  </r>
  <r>
    <s v="CC080"/>
    <s v="CC"/>
    <n v="80"/>
    <x v="1"/>
    <s v="POLÍTICAS PÚBLICAS PARA LA ADAPTACIÓN A LOS IMPACTOS DEL CAMBIO CLIMÁTICO EN LA AGRICULTURA DE RIEGO EN CHILE CENTRAL"/>
    <n v="2012"/>
    <s v="Pontificia Universidad Católica de Chile\Centro de Cambio Global UC"/>
    <s v="-"/>
    <x v="1"/>
    <s v="Nacional"/>
    <s v="Busca integrar protocolos y parámetros que incluyan la incertidumbre del cambio climático dentro de la evaluación de políticas y proyectos de riego,"/>
    <s v="Información relevante para el diagnosticó de oferta y demanda hídrica además de diagnóstico ambiental para considerar el cambio climático dentro de estos apartados"/>
    <s v="No"/>
    <m/>
  </r>
  <r>
    <s v="CC090"/>
    <s v="CC"/>
    <n v="90"/>
    <x v="1"/>
    <s v="PLAN NACIONAL DE ADAPTACIÓN AL CAMBIO CLIMÁTICO. PROPUESTA"/>
    <n v="2013"/>
    <s v="Centro de Cambio Global UC"/>
    <s v="Ministerio de Medio Ambiente"/>
    <x v="1"/>
    <s v="Nacional"/>
    <s v="El Plan de Adaptación Nacional (PAN) está compuesto de tres partes. La primera parte tiene un carácter genérico y conceptual en la cual se busca aclarar conceptos básicos relacionados a la adaptación y al cambio climático y presentar el rol que tiene el gobierno en la tarea de adaptación. En la segunda parte se entrega información de contexto con respecto a los posibles cambios climáticos esperados para el país al igual que los posibles impactos y vulnerabilidades de los distintos sectores. Finalmente, la tercera parte presenta la estructura del PAN propiamente tal, incluyendo la institucionalidad de la adaptación al cambio climático desde el Estado, lineamientos sectoriales, y de implementación del PAN entre otros aspectos claves."/>
    <s v="Información relevante para el diagnosticó de oferta y demanda hídrica además de diagnóstico ambiental para considerar el cambio climático dentro de estos apartados"/>
    <s v="No"/>
    <m/>
  </r>
  <r>
    <s v="DT010"/>
    <s v="DT"/>
    <n v="10"/>
    <x v="0"/>
    <s v="INFORME DIAGNOSTICO Y PROSPECTIVA. PROCESO DE ACTUALIZACION ERD MAULE 2008-2020"/>
    <n v="2007"/>
    <s v="Universidad de Talca"/>
    <s v="Gobierno Regional Maule"/>
    <x v="2"/>
    <s v="Regional"/>
    <s v="Presenta los resultados del ejercicio de diagnóstico y prospectiva aplicado a la Región del Maule, desarrollado por el equipo de profesionales de la Universidad de Talca, como parte de los servicios encomendados por parte del Gobierno Regional, a través de su División de Desarrollo Regional (DDR)._x000a_Los indicadores IDH del PNUD sitúan a la Región como la de menor desarrollo regional, y a 25 de sus comunas en la mitad inferior del rango nacional; el ICORE (e ICR) ha situado históricamente al Maule entre las 4 regiones peor evaluadas en lo que respecta a los factores determinantes de la competitividad (entre los peor evaluados está el factor Gobierno) mejorando levemente este último año; por su parte, la CASEN ubica a la Región como la quinta de mayor proporción de pobres y con peor situación en vivienda. Los estudios temáticos por su parte, indican que la Región es la de mayor tasa de analfabetismo, con una salud con peores indicadores que el promedio país, y con un mercado laboral complejo marcado por la estacionalidad y mala distribución del ingreso. Los determinantes del desarrollo son variables causales que se pueden agrupar de acuerdo a los cinco subsistemas establecidos en la ERD 2000-2006, referidos principalmente a la economía regional; territorio, infraestructura y medio ambiente; aspectos sociales; y a la identidad, cultura y patrimonio. Además, de un nuevo determinante denominado gobernabilidad y gobernanza regional, representada a través del sistema público, el cual debe actuar como un catalizador del desarrollo."/>
    <s v="Información relevante para el análisis de planificación territorial como la visón actualizada del desarrollo territorial regional. Se define la imagen objetivo Maule 2020."/>
    <s v="Si"/>
    <m/>
  </r>
  <r>
    <s v="DT015"/>
    <s v="DT"/>
    <n v="15"/>
    <x v="1"/>
    <s v="PROGRAMA DE ORGANIZACIÓN Y CAPACITACIÓN DE COMUNIDADES DE AGUAS, Y DESARROLLO DE ORGANIZACIONES TERRITORIALES EN DIVERSAS REGIONES DEL PAÍS"/>
    <n v="2006"/>
    <s v="Universidad de Concepción"/>
    <s v="Comisión Nacional de Riego (CNR)"/>
    <x v="2"/>
    <s v="Regional"/>
    <s v="Su objetivo general fué organizar y capacitar comunidades de aguas, con el propósito de generar organizaciones modernas y participativas, capaces de mejorar la eficiencia en la distribución y utilización de sus recursos hídricos, y de los instrumentos de fomento al riego, como así también organizar y capacitar organizaciones territoriales que planifiquen el desarrollo productivo local en tres territorios del país. Objetivos específicos del Programa: Organizar y capacitar comunidades de aguas, con una metodología validada. Capacitar a monitores (profesionales y/o dirigentes) para desarrollar capacidades locales en cuanto a la transferencia de conocimientos sobre organizaciones de regantes. Contribuir a la formación y fortalecimiento de organizaciones territoriales de desarrollo productivo, a través de la transferencia de capacidades de gestión a dirigentes agrícolas locales. Sensibilizar sobre la problemática existente y las herramientas de solución en el marco del desarrollo de las comunidades de aguas y organizaciones territoriales; y establecer un sistema de coordinación, operación y gestión de las diferentes instituciones e instrumentos de apoyo a la capacitación y desarrollo de las comunidades de aguas y organizaciones de Desarrollo Territorial. Establecer un Programa de seguimiento y evaluar el cambio producido en la organización luego de recibir la capacitación a través de la metodología utilizada."/>
    <s v="Información relevante para el diagnóstico de los derechos de uso como el diagnostico a la organizaciones de usuarios del agua y la capacitación  y organización directa. Y también contiene información relevante a al análisis territorial con la capacitación a dirigentes agrícolas en desarrollo Territorial como el cuadro 7 y 8, proyectos de la Ley 18.450."/>
    <s v="No"/>
    <m/>
  </r>
  <r>
    <s v="DT020"/>
    <s v="DT"/>
    <n v="20"/>
    <x v="1"/>
    <s v="ACTUALIZACIÓN PLAN REGIONAL DE DESARROLLO URBANO. MEMORIA"/>
    <n v="2007"/>
    <s v="URBE Arquitectos"/>
    <s v="MINVU Regional del Maule"/>
    <x v="2"/>
    <s v="Regional"/>
    <s v="La actualización del PRDU de la Región del Maule, tiene como objetivo proveer de un marco de Referencia para orientar a largo plazo las actuaciones sectoriales públicas y privadas en el territorio, por medio de Estrategias referidas al espacio territorial, metas referenciales respecto al sistema urbano regional y normativas básicas respecto al suelo regional. Por otra parte, las estrategias están dirigidas a poner en valor todas las condiciones locales que resultan oportunidades para el desarrollo, dentro de un criterio de sustentabilidad. Es un instrumento de planificación territorial en los niveles Intercomunal y Comunal, bases para acuerdos sobre una agenda operativa que se relaciona con los instrumentos vecinos del mismo nivel. Considera el marco de los grandes principios de la seguridad de las personas y el medioambiente. Incorpora el uso de los Sistemas de Información Geográficos como un medio para actualizar y modernizar la modalidad de seguimiento, administración y actualización de las bases de datos e información relacionada con la gestión del desarrollo urbano y rural en la escala Regional, Intercomunal y Comunal y, como soporte al proceso de desarrollo del Plan."/>
    <s v="Información relevante para el análisis de planificación territorial con objetivos de desarrollo urbano y turístico de área ocupando las zonas de valor natural paisajístico existentes. "/>
    <s v="Si"/>
    <m/>
  </r>
  <r>
    <s v="DT021"/>
    <s v="DT"/>
    <n v="21"/>
    <x v="1"/>
    <s v="PROGRAMA DE INFRAESTRUCTURA RURAL PARA EL DESARROLLO TERRITORIAL, Cuenca Mataquito"/>
    <n v="2007"/>
    <s v="Subsecretaría de Desarrollo Regional y Administrativo"/>
    <s v="Gobierno Regional Maule"/>
    <x v="2"/>
    <s v="Comunal"/>
    <s v="Se realiza una descripción del territorio en los ámbitos de recursos naturales infraestructura, recursos humanos, instituciones presentes, actividades económicas y las empresas.  Se integra una cartera de inversiones por subterritorio a nivel de perfil. Y se establece el Plan de gestión PMDT con el fortalecimiento de actores locales de las mesas, institucionalidad de las mesas, proceso de fortalecimiento de lo agentes públicos y ejecución de la cartera integrada."/>
    <s v="Información relevante para el diagnóstico territorial vinculado a los recursos hídricos ya sean como iniciativas o ejes estratégicos"/>
    <m/>
    <m/>
  </r>
  <r>
    <s v="DT022"/>
    <s v="DT"/>
    <n v="22"/>
    <x v="1"/>
    <s v="Plan Marco de Desarrollo Territorial Área Poniente de Talca"/>
    <n v="2007"/>
    <s v="Subsecretaría de Desarrollo Regional y Administrativo"/>
    <s v="Gobierno Regional Maule"/>
    <x v="2"/>
    <s v="Comunal"/>
    <s v="Resultados obtenidos durante el proceso de desarrollo de la consultoría, esto es, la Visión estratégica del desarrollo de los subterritorios vinculadas al desarrollo de sus principales actividades económicas (ejes productivos) validados por la comunidad, que podrán ser fortalecidas por inversiones en infraestructura rural, también consensuadas y validadas por los actores relevantes (públicos y privados), que fueron definidos y analizados por la consultora y validados a través de talleres con la comunidades en estudio. En este sentido, se presenta una cartera Integrada de proyectos en Infraestructura rural con o sin financiamiento PIRDT y de fomento productivo, cuya ejecución sin duda potenciará y desarrollará económica, productiva y socialmente a los habitantes del territorio en estudio, que son:_x000a_- Comuna de Pencahue,  Curepto y Empedrado_x000a_Entre los objetivos estratégicos se encuentran el fortalecimiento de actividad Hortícola, Turístico Rural , promoción de los viñedos, olivos, actividad apícola, ganadero, industria maderera, activación de la valorización de hogos silvestres, entre otros._x000a_Informe relevante para el diagnóstico territorial vinculado a los recursos hídricos determinando las iniciativas en el territorio relevantes para la formulación del Plan._x000a_"/>
    <s v="Información relevante para el diagnóstico territorial vinculado a los recursos hídricos ya sean como iniciativas o ejes estratégicos"/>
    <m/>
    <m/>
  </r>
  <r>
    <s v="DT025"/>
    <s v="DT"/>
    <n v="25"/>
    <x v="1"/>
    <s v="ESTRATEGIA REGIONAL DE DESARROLLO"/>
    <n v="2009"/>
    <s v="Universidad de Talca"/>
    <s v="Gobierno Regional Maule"/>
    <x v="2"/>
    <s v="Regional"/>
    <s v="El resultado de este análisis es una Síntesis Territorial, que concluyó en la conformación de las Unidades Territoriales Homogéneas e identificó diferentes ideas fuerza como imagen objetivo."/>
    <s v="Información relevante para diferentes partes del diagnóstico técnico. Contiene información relevante para el análisis territorial vinculado al medio ambiente fomentando la planificación como instrumento. Integración territorial a largo plazo respetando dicha planificación con los cambios de gobierno e incorporar la gestión integrada de cuencas."/>
    <s v="No"/>
    <m/>
  </r>
  <r>
    <s v="DT030"/>
    <s v="DT"/>
    <n v="30"/>
    <x v="1"/>
    <s v="PROPUESTA DE POLÍTICA REGIONAL DE DESARROLLO RURAL REGIÓN DEL MAULE"/>
    <n v="2009"/>
    <s v="Universidad de Talca"/>
    <s v="Gobierno Regional Maule"/>
    <x v="2"/>
    <s v="Regional"/>
    <s v="El  documento constituye un aporte conjunto de la Universidad de Talca y del Gobierno Regional, a una Política de Desarrollo Rural de la Región del Maule. Se sustenta en los lineamientos establecidos en la Estrategia Regional de Desarrollo 2020 (entregada a la comunidad hace un mes) como asimismo, en los aportes de sobre 300 actores relevantes de la región que participaron en 07 talleres territoriales, 01 seminario internacional, 02 talleres metodológicos y 53 entrevistas estructuradas. Los contenidos de ambas fuentes permitieron orientar este estudio requerido por el Gobierno Regional, bajo cuatro principios o ejes estratégicos estructurantes: i) Competitividad de la Economía Rural (CER); ii) Dimensión Social Rural: Calidad de Vida y Diversificación Laboral (DSR); iii) Medio Ambiente, Infraestructura y Territorio Rural (MAITR); iV) Gobernanza Rural (GR)._x000a_Para lo señalado, se aplicó la metodología de AHP o Proceso de Análisis Jerárquico, y que se vinculó con la matriz de impactos cruzados (método MIC MAC). Así se obtuvo la ponderación porcentual de cada eje y lineamientos, en virtud del cual la autoridad podrá tomar decisiones, asignar recursos y evaluar impacto en función del modelo de gestión diseñado para la presente política pública."/>
    <s v="Información relevante en el análisis de la situación ambiental, identificación del nivel ecocomico-social  con la conciencia sobre el medio natural. "/>
    <s v="Si"/>
    <m/>
  </r>
  <r>
    <s v="DT031"/>
    <s v="DT"/>
    <n v="31"/>
    <x v="1"/>
    <s v="PLAN MARCO DE DESARROLLO TERRITORIAL ;MAULE SUR"/>
    <s v="NS/ND"/>
    <s v="Gobierno Regional Maule"/>
    <s v="Gobierno Regional Maule"/>
    <x v="2"/>
    <s v="Comunal"/>
    <s v="El territorio denominado Maule Sur, está compuesto por las comunas de Cauquenes, Chanco y Pelluhue, correspondiendo administrativamente a la provincia de Cauquenes. . A su vez este coincide con la asignación de territorio por parte de GTI – GORE Maule y a la zona identificada para la implementación del Programa de Infraestructura Rural para el Desarrollo Territorial, PIRDT – SUBDERE. El objetivo es reforzar atrevés de inversión pública y mejorar la situación actual tanto como crecimiento y desarrollo del territorio. Se incluye la cartera integrada de Proyectos según los ejes estratégicos."/>
    <s v="Información relevante para el diagnóstico territorial vinculado a los recursos hídricos ya sean como iniciativas o ejes estratégicos"/>
    <m/>
    <m/>
  </r>
  <r>
    <s v="DT032"/>
    <s v="DT"/>
    <n v="32"/>
    <x v="1"/>
    <s v="PLAN MARCO DE DESARROLLO TERRITORIAL PMDT, EMBALSE DE ANCOA"/>
    <s v="NS/ND"/>
    <s v="Gobierno Regional Maule"/>
    <s v="Gobierno Regional Maule"/>
    <x v="2"/>
    <s v="Comunal"/>
    <s v="Identifica las necesidades de infraestructura, sustentadas en la posibilidad de contribuir a desarrollar potenciales productivos con una visión estratégica de los Subterritoiros y descripción de la cartera integrada de proyectos según beneficios y análisis de ejecución y estrategia. "/>
    <s v="Información relevante para el diagnóstico territorial vinculado a los recursos hídricos ya sean como iniciativas o ejes estratégicos"/>
    <m/>
    <m/>
  </r>
  <r>
    <s v="DT040"/>
    <s v="DT"/>
    <n v="40"/>
    <x v="1"/>
    <s v="PLAN REGIONAL DE ORDENAMIENTO TERRITORIAL(PROT)"/>
    <n v="2011"/>
    <s v="Gobierno de Chile"/>
    <s v="Gobierno de Chile"/>
    <x v="2"/>
    <s v="Nacional"/>
    <s v="Instrumento de Planificación  que engloba la idea socioeconómica con la física, supera la parcialidad del enfoque temático en la planificación sectorial y ampliar la reducida escala espacial del planeamiento municipal"/>
    <s v="Información relevante para el análisis de planificación territorial"/>
    <s v="Si"/>
    <m/>
  </r>
  <r>
    <s v="DT050"/>
    <s v="DT"/>
    <n v="50"/>
    <x v="1"/>
    <s v="GUÍA ANÁLISIS Y ZONIFICACIÓN DE CUENCAS  HIDROGRÁFICAS PARA EL ORDENAMIENTO TERRITORIAL"/>
    <n v="2013"/>
    <s v="Subsecretaría de Desarrollo Regional y Administrativo (SUBDERE)"/>
    <s v="Subsecretaría de Desarrollo Regional y Administrativo (SUBDERE)"/>
    <x v="2"/>
    <s v="Nacional"/>
    <s v="Esta guía es una herramienta que permitirá que los profesionales de los Gobiernos Regionales dedicados a la planificación del territorio, cuenten con un método de análisis del sistema de cuencas hidrográficas, en el marco de una visión sustentable del desarrollo. Este método permitirá que esta unidad territorial pueda ser considerada e integrada a una planificación regional."/>
    <s v="Información relevante para el diagnóstico en la zonificación de las zonas de estudio y relevante a un análisis territorial vinculado a las cuencas. Contiene información conceptual y metodología de análisis según componente de cuenca hidrográfica."/>
    <s v="No"/>
    <m/>
  </r>
  <r>
    <s v="DT055"/>
    <s v="DT"/>
    <n v="55"/>
    <x v="1"/>
    <s v="PLAN REGIONAL DE GOBIERNO. REGIÓN DEL MAULE 2014-2018"/>
    <n v="2014"/>
    <s v="Gobierno Regional Maule"/>
    <s v="Gobierno Regional Maule"/>
    <x v="2"/>
    <s v="Regional"/>
    <s v="El Plan tiene por objetivo  generar las condiciones que permitan gestionar de una manera más eficiente la planificación e inversión regional para avanzar hacia un desarrollo armónico y equitativo de los territorios en aspectos de desarrollo económico, social-cultural e infraestructura."/>
    <s v="Información relevante para el análisis de planificación territorial"/>
    <s v="Si"/>
    <m/>
  </r>
  <r>
    <s v="DT060"/>
    <s v="DT"/>
    <n v="60"/>
    <x v="1"/>
    <s v="PROGRAMA GESTIÓN TERRITORIAL PARA ZONAS REZAGADAS"/>
    <n v="2014"/>
    <s v="Gobierno Regional Maule"/>
    <s v="Gobierno Regional Maule"/>
    <x v="2"/>
    <s v="Regional"/>
    <s v="El PGTZR para la Región del Maule, concluye que a partir de la inversión en infraestructura realizada en el Plan Marco de Desarrollo Territorial, Territorios Cuenca del Mataquito, Talca Poniente, Embalse Ancoa y Maule Sur, se valida lo que se propuso al implementar el programa en cinco regiones de Chile en el año 2005, y se aprecia que a partir de este instrumento de planificación basado en el desarrollo de los territorios desde el punto de vista productivo el programa PIRDT aportó y abrió fuentes de financiamientos a sectores históricamente postergados, por presentar baja rentabilidad de inversión y alta dispersión de los habitantes de las localidades."/>
    <s v="Información relevante para el análisis de planificación territorial"/>
    <s v="Si"/>
    <m/>
  </r>
  <r>
    <s v="DT070"/>
    <s v="DT"/>
    <n v="70"/>
    <x v="1"/>
    <s v="PLAN SECANO MAULE SUR 2016-2018. INICIATIVAS E INVERSIONES DESARROLLO TERRITORIO SECANO MAULE SUR. COMUNAS DE CAUQUENES, CHANCO, PELLUHUE Y EMPEDRADO. REGIÓN DEL MAULE"/>
    <n v="2015"/>
    <s v="Gobierno Regional Maule"/>
    <s v="Gobierno Regional Maule"/>
    <x v="2"/>
    <s v="Comunal"/>
    <s v="En el marco del Programa de Gestión Territorial para Zonas de Rezago, entre la que se encuentran estas cuatro comunas (Cauquenes, Chanco, Pellhué y Empedrado), el Plan propone una serie de iniciativas, proyectos e inversiones que implican recursos públicos o decisiones de asignación de recursos públicos para que, aquellas que sean de su competencia, sean aprobadas por el Gobierno Regional del Maule. El proceso se desarrolló concordada, participativa y progresivamente a través de las mesas público-privado-comunitarias temáticas y territorial, y discutido y afinado con el Intendente y demás autoridades regionales a través de la Mesa Técnica Regional._x000a_Previamente, en el estudio se realiza un análisis de las principales actividades económicas del territorio, los recursos y capacidades de su gente, las oportunidades de desarrollo y las situaciones de rezago que dificultan su desarrollo. Entre éstas destaca el déficit de abastecimiento de agua potable rural (APR), que se sitúa en este terrritorio en un 27%, frente al 5% de la Region VII, debido a la escasez de recursos hídricos y a la falta de infraestructura hidráulica. También se destaca la poca tecnificación de los sistemas de riego._x000a_Como metas para el año 2018, en cuanto al aprovechamiento de recursos hídricos,  se plantea incrementear en un 10% la superficie regable, reducir en un 25% los hogares abastecidos por camiones aljibes, y la construcción del embalse de Empedrado y el estudio de factibilidad y diseño del embase de Huedque."/>
    <s v="Información relevante para el diagnóstico territorial vinculado al recurso hídrico con conclusiones referidas a los APR, infraestructura hidráulica y mejoramiento y aplicación de zona de riego, como la tecnificación."/>
    <s v="No"/>
    <m/>
  </r>
  <r>
    <s v="DT075"/>
    <s v="DT"/>
    <n v="75"/>
    <x v="1"/>
    <s v="PLAN DE ACCIÓN REGIÓN DEL MAULE; SECTOR TURISMO 2014-2018"/>
    <n v="2015"/>
    <s v="Servicio Nacional de Turismo Chile"/>
    <s v="Servicio Nacional de Turismo Chile"/>
    <x v="2"/>
    <s v="Regional"/>
    <s v="El documento se basa en el eje estructural en torno a los lineamientos planteados en el programa de Gobierno, que proponen el desafío de potencial de desarrollo turísticos  sustentable de las Áreas Silvestres Protegidas como las Siete Tazas; avanzar en establecimiento de Zonas de Interes Turistico._x000a_El Documento se rige en siete puntos que son antecedentes, diagnostico, demanda actual, definición de estrategia de acción regional y componentes del Plan_x000a_"/>
    <s v="Información relevante en el análisis Turístico de la región vinculado a los recursos hídricos como Lagos o áreas protegidas"/>
    <m/>
    <m/>
  </r>
  <r>
    <s v="DT080"/>
    <s v="DT"/>
    <n v="80"/>
    <x v="3"/>
    <s v="ACTUALIZACIÓN DE LA AGENDA DE INNOVACIÓN AGRARIA DE LA REGIÓN DEL MAULE"/>
    <n v="2016"/>
    <s v="Fundación para la Innovación Agraria"/>
    <s v="Ministerio de Agricultura"/>
    <x v="2"/>
    <s v="Regional"/>
    <s v="Tiene como objetivo general actualizar la Agenda de Innovación Agraria de la Región del Maule, con una perspectiva territorial y validación regional, que permita focalizar de mejor manera las futura intervenciones en temas de innovación agraria, tanto para el FIA como para otras agencias públicas y para agentes privados, con miras a fortalecer el desarrollo del sector silvo agropecuario local y regional, en un horizonte de mediano plazo (5años), considerando los instrumentos de orientación para el fomento y la innovación vigentes en la región para el sector agropecuario y forestal."/>
    <s v="Sin interés para el PMRH Maule"/>
    <s v="Si"/>
    <m/>
  </r>
  <r>
    <s v="DT085"/>
    <s v="DT"/>
    <n v="85"/>
    <x v="1"/>
    <s v="PLANES REGUALDORES COMUNALES"/>
    <s v="NS/ND"/>
    <s v="Municipalidad"/>
    <s v="Municipalidad"/>
    <x v="2"/>
    <s v="Comunal"/>
    <s v=" "/>
    <s v="Información relevante para el diagnóstico territorial vinculado a los recursos hídricos ya sean como iniciativas o ejes estratégicos"/>
    <m/>
    <m/>
  </r>
  <r>
    <s v="DT090"/>
    <s v="DT"/>
    <n v="90"/>
    <x v="1"/>
    <s v="PLAN DESARROLLO COMUNAL (PLADECO)"/>
    <m/>
    <s v="-"/>
    <s v="-"/>
    <x v="2"/>
    <s v="Comunal"/>
    <s v="El Plan de Desarrollo Comunal (PLADECO) es un instrumento de planificación y gestión con el que cuenta la Organización Municipal, y su propósito es contribuir a una administración eficiente de las Comunas y promover las iniciativas y proyectos destinados a impulsar el progreso económico, social y cultural de sus habitantes._x000a_En el marco de las nuevas políticas para la descentralización del aparato del Estado, promoviendo la captación de recursos regionales y sectoriales. Las Municipalidades son la instancia más cercana a los ciudadanos de la comuna, y contribuyen un importante eslabón del sistema democrático, mejorando la forma de hacer gestión, desarrollando nuevas técnicas e incorporaciones de métodos y procedimientos acordes a la naturaleza de los fenómenos sociales, políticos y económicos. El PLADECO es un instrumento para toma de decisiones, cuyo propósito y alcance está pensado para que permita anticipar situaciones futuras, contribuya al debate comunal, constituya como una Guía para la acción, permita vincular las decisiones cotidianas y que sea eficaz herramienta de gestión."/>
    <s v="Información relevante para el análisis de planificación territorial en ámbito comunal."/>
    <s v="Si"/>
    <m/>
  </r>
  <r>
    <s v="EH005"/>
    <s v="EH"/>
    <n v="5"/>
    <x v="4"/>
    <s v="CATASTRO DE POZOS POR REGIÓN"/>
    <n v="1984"/>
    <s v="Augusto Schultz"/>
    <s v="Departamento de Hidrología. DGA"/>
    <x v="3"/>
    <s v="Regional"/>
    <s v="Datos de las captaciones de aguas subterráneas, con anotación de: sector, nº pozo, predio, propietario, constructor, metros perforados, caudal, nivel dinámico y estático, fecha de bombeo, uso del agua, análisis químicos, perfil estratigráfico. (No hay datos de coordenadas)"/>
    <s v="Sin interés para el PMRH: datos antiguos y sin coordenadas para situar puntos de agua.           "/>
    <s v="Si"/>
    <m/>
  </r>
  <r>
    <s v="EH006"/>
    <s v="EH"/>
    <n v="6"/>
    <x v="0"/>
    <s v="ANÁLISIS CRÍTICO DE LA  RED DE MEDICIÓN DE NIVELES DE AGUA SUBTERRÁNEA"/>
    <n v="1987"/>
    <s v="ALAMOS Y PERALTA. INGENIEROS CONSULTORES"/>
    <s v="Departamento de Hidrología. DGA"/>
    <x v="3"/>
    <s v="Regional"/>
    <s v="Memoria, Anexos y Planos (con localización de puntos de la red de control). Ámbito de 6 cuencas: Mataquito (con 3 subcuencas), Maule, Rapel, Costeras entre 6ª Región y Mataquito, Costeras entre Mataquito y Maule, Costeras entre Maule y 8ª Región. Datos de medidas de niveles dinámicos y estáticos y gráficos de evolución, fichas de pozos (53) de medida y datos de calidad del agua "/>
    <s v="Sin interés para el PMRH: datos antiguos de niveles estáticos/dinámicos y calidad del agua. Fichas de 53 puntos de agua. Los puntos están con coordenadas geográficas, nomenclatura de CIREN. (No se dispone del shp)"/>
    <s v="Si"/>
    <m/>
  </r>
  <r>
    <s v="EH010"/>
    <s v="EH"/>
    <n v="10"/>
    <x v="0"/>
    <s v="EVALUACIÓN RED HIDROMÉTRICA NACIONAL. ANEXO"/>
    <n v="2006"/>
    <s v="DIRECCIÓN DE PLANEAMIENTO"/>
    <s v="Ministerio de Obras Públicas"/>
    <x v="3"/>
    <s v="Nacional"/>
    <s v="En este anexo se muestra el análisis que fuera realizado en dos cuencas específicas a objeto de investigar las necesidades de información que los regantes requieran de la Red Hidrométrica Nacional, y como ella puede serles útil en sus actividades diarias. Recopila las entrevistas a diferentes comunidades de usuarios, canalistas y juntas de vigilancia, realizadas con objeto de recabar información sobre el acceso al Derrecho de Agua y la gestión para la distribución del agua entre los diferentes usuarios."/>
    <s v="Información relevante para el diagnóstico de los derechos de agua según su venta; y contiene información de interés para el diagnóstico de red hidrométrica como el análisis detener información hidrometerológico a tiempo real."/>
    <s v="No"/>
    <m/>
  </r>
  <r>
    <s v="EH020"/>
    <s v="EH"/>
    <n v="20"/>
    <x v="0"/>
    <s v="ANALISIS Y VALORACION DE LA FUNCIONALIDAD DE LA RED FLUVIOMETRICA Y ASIGNACION DE DERECHOS DE APROVECHAMIENTO. INFORME FINAL"/>
    <n v="2006"/>
    <s v="DIRECCIÓN DE PLANEAMIENTO"/>
    <s v="Ministerio de Obras Públicas"/>
    <x v="3"/>
    <s v="Nacional"/>
    <s v="El Informe tiene como objetivo general una evaluación costo-beneficio de los servicios prestados por la Red Hidrométrica Nacional (RHN). Se presenta la metodología de análisis costo-beneficio utilizada en la evaluación de los programas de mejoramiento que se proponen, basada en considerar que el principal objetivo de la RHN es proveer estadísticas relativas a medición de caudales, temperaturas, etc., que son utilizadas en los procesos de toma de decisiones. Es así como se distinguieron las decisiones asociadas a inversión, operación (gestión) y mitigación de pérdidas, que se sirven de la información que provee la_x000a_red. Adicionalmente, se presenta la metodología utilizada para la evaluación de la red actual, que se basa en comparar el escenario de continuidad de operación de la red con el de no hacerlo. En este último caso, se dejaría de recolectar información, con la correspondiente pérdida de calidad estadística. En la práctica, se sugiere comparar las pérdidas de precisión en las variables de diseño en obras de infraestructura, versus los costos de seguir realizando las mediciones._x000a_Se propone un plan de mejoramiento para la RHN, específicamente en la Red Fluviométrica, Red Hidrometeorológica y la Red de Calidad de Aguas. Cada una de estas redes fue sometida a una revisión y análisis, considerando estudios existentes, criterios del consultor y experiencia internacional, de forma tal de definir ciertos mejoramientos específicos._x000a_Se presenta el análisis costo-beneficio y se analiza el aspecto institucional de la RHN, entregando alguna idea sobre cual pudiera ser una alternativa con relación a la actual operación en manos del Estado."/>
    <s v="Información relevante para el análisis de la red hidrométrica y balance hídrico"/>
    <s v="Si"/>
    <m/>
  </r>
  <r>
    <s v="EH030"/>
    <s v="EH"/>
    <n v="30"/>
    <x v="0"/>
    <s v="MEJORAMIENTO Y AMPLIACIÓN DE RED DE AGUAS SUBTERRÁNEAS, REGIONES VII A XI. INFORME FINAL"/>
    <n v="2010"/>
    <s v="CONIC BF INGENIEROS CIVILES CONSULTORES LTDA"/>
    <s v="Dirección General de Aguas (DGA)"/>
    <x v="3"/>
    <s v="Regional"/>
    <s v="El objetivo central del presente trabajo es la formulación de una red de medición de_x000a_aguas subterráneas para la zona comprendida entre el río Mataquito (VII Región) y el río Maullín (X Región de Los Lagos). Los objetivos específicos del estudio son los siguientes: revisión de proposición de redes de aguas subterráneas de estudios anteriores; caracterización hidrogeológica general; identificación de requerimientos de información; proposición de red de aguas subterráneas; priorización de red oferta; proposición de recomendaciones._x000a_Incluye análisis de la geología regional, hidrogeología, un catastro de captaciones, definición de acuíferos y profundidad de niveles y dirección de escurrimiento"/>
    <s v="Información relevante para el análisis de la red hidrométrica, oferta hídrica superficial; y subterránea. Incluye información relevante para el análisis de insumos para la gestión hídrica y herramientas de análisis."/>
    <s v="Si"/>
    <n v="223"/>
  </r>
  <r>
    <s v="EH040"/>
    <s v="EH"/>
    <n v="40"/>
    <x v="0"/>
    <s v="ANÁLISIS CRÍTICO DE LAS REDES HIDROMÉTRICAS, REGIONES V A VII Y REGIÓN METROPOLITANA. INFORME FINAL"/>
    <n v="2013"/>
    <s v="KRAL CONSULTORES LIMITADA"/>
    <s v="Dirección General de Aguas (DGA)"/>
    <x v="3"/>
    <s v="Regional"/>
    <s v="Se incluye la caracterización de las estaciones vigentes con la finalidad de evaluar si la red permite obtener información para el otorgamiento de derechos, detectar fuentes contaminantes, obtener un balance hídrico de alguna cuenca en particular y si con la red se puede determinar o prever eventos extremos. Junto a la propuesta de red hidrométrica, se valorizarán las mejoras y la posible ampliación de ella._x000a_Se hace un análisis de la idoneidad de la ubicación de la estación en base al catastro realizado y otros antecedentes disponibles. Lo mismo se efectúa respecto de las variables medidas._x000a_Complementariamente, se recogen las necesidades de las oficinas Regionales de Emergencia para enfrentar eventos extremos en lo relacionado con las mediciones de las Red Hidrométrica."/>
    <s v="Contenido relevante en el análisis de Insumos para la Gestión Hídrica y Herramientas de Análisis, como modelo Hidrologico, MAGIC-Maule.Además el informe contiene información de interés en  hidrométrica. Se obtiene información para conocimiento de la evolución de la Red Hidrométrica, análisis sintético de la idoneidad de la red hidrométrica Incorpora datos de interés de estaciones de aguas subterráneas de la VII región. "/>
    <s v="Si"/>
    <m/>
  </r>
  <r>
    <s v="EX005"/>
    <s v="EX"/>
    <n v="5"/>
    <x v="0"/>
    <s v="ANALISIS DE EVENTOS HIDROMETEOROLOGICOS EXTREMOS EN EL PAIS. CAUDALES MAXIMOS y MINIMOS . VOLUMEN I"/>
    <n v="1995"/>
    <s v="AC INGENIEROS CONSULTORES LTOA, Ayala Cabrera y Asociados Uda"/>
    <s v="Dirección General de Aguas (DGA)"/>
    <x v="4"/>
    <s v="Nacional"/>
    <s v="El objetivo de este estudio es mejorar la estimación de caudales extremos en el país, en cuencas con escasa o nula información fluviométrica, mediante el empleo de fórmulas o procedimientos sencillos y confiables para el diseño de obras hidráulicas de pequeña y mediana envergadura. Es un estudio preliminar del Manual de diseño de Obras hidráulicas de drenaje."/>
    <s v="Información relevante para el diagnóstico de eventos extremos como los caudales medios diarios máximos, Periodo Pluvial, en el periodo de tiempo de 1964-1991; caudales instantáneos máximos"/>
    <s v="No"/>
    <m/>
  </r>
  <r>
    <s v="EX020"/>
    <s v="EX"/>
    <n v="20"/>
    <x v="1"/>
    <s v="PLAN NACIONAL DE PROTECCIÓN CIVIL"/>
    <n v="2002"/>
    <s v="Ministerio Interior"/>
    <s v="Ministerio Interior"/>
    <x v="4"/>
    <s v="Nacional"/>
    <s v="El Plan busca potenciar las capacidades preventivas, sin descuidar el continuo perfeccionamiento de las actividades de preparación y atención de emergencias o desastres, pasando a constituirse en un instrumento indicativo para la gestión descentralizada, de acuerdo a las específicas realidades de riesgos y de recursos de cada área geográfica del país. Incluye una guía para el uso de los informes ALFA y DELTA."/>
    <s v="Información relevante para el análisis de eventos extremos es documento base de prevención y mitigación ante eventos extremos en ámbito Nacional."/>
    <s v="Si"/>
    <m/>
  </r>
  <r>
    <s v="EX025"/>
    <s v="EX"/>
    <n v="25"/>
    <x v="0"/>
    <s v="EVENTOS METEOROLÓGICOS SEVEROS OCURRIDOS EN CHILE CONTINENTAL: DESCRIPCIÓN Y PATRONES SINÓPTICOS TIPOS ASOCIADOS, DIRECCIÓN METEOROLÓGICA DE CHILE"/>
    <n v="2006"/>
    <s v="Dirección Meteorológica de Chile"/>
    <s v="Dirección Meteorológica de Chile"/>
    <x v="4"/>
    <s v="Nacional"/>
    <s v="Se trata del primer estudio de la Dirección Meteorológica de Chile sobre la temática “Eventos meteorológicos severos ocurridos en Chile continental, en el que se definen patrones sinópticos tipos asociados”, mediante el cual se analizan estadísticamente los eventos de precipitación y temperatura del aire, extremas a lo largo del país, determinando valores umbrales y configuraciones sinópticas asociadas que conducen a eventos extremos que pueden causar desastres naturales como inundaciones, aluviones, heladas y otros."/>
    <s v="Información relevante para el análisis de crecidas con una base de datos meteorológicas"/>
    <s v="Si"/>
    <m/>
  </r>
  <r>
    <s v="EX027"/>
    <s v="EX"/>
    <n v="27"/>
    <x v="0"/>
    <s v="LEY 20.304 “SOBRE OPERACIÓN DE EMBALSES FRENTE A ALERTAS Y EMERGENCIAS DE CRECIDAS Y OTRAS MEDIDAS QUE INDICA. DEFINICIÓN DE EMBALSE DE COLBÚN COMO EMBALSE DE CONTROL"/>
    <n v="2010"/>
    <s v="-"/>
    <s v="-"/>
    <x v="4"/>
    <s v="Subcuenca del Maule"/>
    <s v="Definición de Embalse Colbún como Embalse de Control. Es un estudio realizado sobre los embalses con capacidad de regulación de crecidas, es decir aquellos que mediante el control de los caudales de vertidos y del volumen de almacenamiento durante una crecida, son capaces de presentar un efecto de regulación en los eventos máximos, con el objeto de mitigar parcial o totalmente los daños producidos aguas abajo por los desbordamientos del cauce, primordialmente en aquellas zonas previamente definidas como de riesgo. El Estudio analiza el caso particular del Embalse Colbún. El Embalse principal de Control del sistema corresponde a Colbún, debido a que controla 5.894 km2 del total de la superficie aportante de la cuenca del Maule de 20.228 km2. El embalse Colbún se caracteriza por disponer de una capacidad de almacenamiento según diseño de unos 1.540 hm3. Suficiente para retener una precipitación de más de 403 mm sobre su cuenca aportante, comparable a la precipitación acumulada máxima de 2 días con periodo de retorno de 50 años. En efecto el tamaño del embalse es tal, que el caudal medio anual del principal afluente, el río Maule, permite su llenado en 76 días y el volumen de almacenamiento disponible entre sus cotas de operación mínima y máxima permiten almacenar íntegramente el volumen asociado a las principales crecidas históricas registradas en los años: 1991, 2006 y 2008. Concluye el Estudio que la capacidad que dispone Colbún para regular las crecidas es considerable, fijando el caudal umbral a la salida de Colbún, a un caudal de 2.500 m3/s, el que corresponde a un periodo de retorno inferior a 5 años. "/>
    <s v="Documento normativo con información relevante para el análisis de eventos extremos, indica obligaciones de los operadores ante la declaración de alerta, entre otros aspectos"/>
    <s v="Si"/>
    <m/>
  </r>
  <r>
    <s v="EX026"/>
    <s v="EX"/>
    <n v="26"/>
    <x v="5"/>
    <s v="CONSTRUCCIÓN DE HERRAMIENTAS MATEMÁTIAS PARA LA PREDICCIÓN DEL COMPORTAMIENTO DE LOS CAUDALES PUNTA EN LA REGIÓN DEL MAULE"/>
    <n v="2009"/>
    <s v="Patricio Alejandro González Loyola"/>
    <s v="Escuela de Ingeniería Forestal"/>
    <x v="4"/>
    <s v="Regional"/>
    <s v="Investiga el comportamiento de las crecidas por medio del análisis de los caudales puenta en cuatro estaciones fluviométricas, distribuidas en las uencas del río Maule y el Mataquito._x000a_Se generaron modelos matemáticos para predecir el caudal puenta aguas abajo, a partir de los caudales punta de las estaciones ubicadas auas arriba."/>
    <s v="Información relevante para el análisis de eventos extremos con modelos matemáticos en la predicción del comportamiento de caudales."/>
    <s v="Si"/>
    <m/>
  </r>
  <r>
    <s v="EX028"/>
    <s v="EX"/>
    <n v="28"/>
    <x v="0"/>
    <s v="DETERMINACIÓN DE LOS UMBRALES DE ALERTA DE CAUDALES, LLUVIAS Y TEMPERATURAS DEL SISTEMA DE TRANSMISIÓN DE DATOS DE LA DGA"/>
    <n v="2010"/>
    <s v="RODHOS ASESORÍAS Y PROYECTOS LTDA"/>
    <s v="Dirección General de Aguas (DGA)"/>
    <x v="4"/>
    <s v="Regional"/>
    <s v="En este documento se realiza un analis de la situacion atual de los umbrales de alerta de monitorieo de las estaciones fluviometricas y pluviometricas; y consecutivamente una propuesta de nuevo listado de umbrales de alertas."/>
    <s v="Información relevante para el análisis de eventos en la revisión de los umbrales de alerta de crecidas."/>
    <s v="Si"/>
    <m/>
  </r>
  <r>
    <s v="EX029"/>
    <s v="EX"/>
    <n v="29"/>
    <x v="0"/>
    <s v="GESTIÓN DEL RIESGO DE SEQUÍA Y OTROS EVENTOS CLIMÁTICOS EXTREMOS EN CHILE"/>
    <n v="2010"/>
    <s v="FAO/Ministerio de Agricultura"/>
    <s v="FAO/Ministerio de Agricultura"/>
    <x v="4"/>
    <s v="Nacional"/>
    <s v="Es un Estudio realizado en colaboración con la FAO, en el que se propuso establecer metodologías para la gestión del riesgo asociado a eventos climáticos extremos, con particular referencia a las sequías en Chile, de modo de apoyar la iniciativa del Ministerio de Agricultura para desarrollar e implementar un Sistema de Gestión del Riesgo Agroclimático. Los objetivos del estudio se centraron en: a) Definir las condiciones de vulnerabilidad a la sequía, en sus dimensiones económica, ambiental y social, incluyendo las capacidades para enfrentar el fenómeno; b) Desarrollar criterios para la evaluación y seguimiento de impactos de la sequía en el ámbito rural; y c) Familiarizar el concepto de gestión de riesgo en diversos ámbitos del desarrollo rural."/>
    <s v=" Información relevante en el diagnóstico de eventos extremos con los criterios de evaluación de sequias."/>
    <s v="No"/>
    <m/>
  </r>
  <r>
    <s v="EX030"/>
    <s v="EX"/>
    <n v="30"/>
    <x v="1"/>
    <s v="PROTOCOLO ONEMI-DGA. DECLARACIÓN DE ALERTA DE CRECIDAS Y OTRAS MEDIDAS"/>
    <n v="2012"/>
    <s v="-"/>
    <s v="Dirección General de Aguas (DGA)"/>
    <x v="4"/>
    <s v="Nacional"/>
    <s v="Se trata del Protocolo ONEMI-DGA del 15 de febrero del 2012, que el que se establece los mecanismos de comunicación para la declaración de alertas de crecidas de ríos y lagos, con el objetivo de adoptar oportunamente las medidas preventivas destinadas a impedir o mitigar los riesgos asociados a estas crecidas de los cauces por razones climáticas. Facilita un anexo con los &quot;umbrales de emergencia&quot; de 78 estaciones, para dos límites: amarillo superior y rojo superior."/>
    <s v="Información relevante para el análisis de eventos extremos, protocolo de prevención ante crecidas define niveles de responsabilidades y umbrales de alerta."/>
    <s v="Si"/>
    <m/>
  </r>
  <r>
    <s v="EX033"/>
    <s v="EX"/>
    <n v="33"/>
    <x v="1"/>
    <s v="PLAN COMUNAL DE EMERGENCIA. COMUNA DE LONGAVÍ"/>
    <n v="2012"/>
    <s v="Municipalidad Longaví"/>
    <s v="Municipalidad Longaví"/>
    <x v="4"/>
    <s v="Comunal"/>
    <s v="El PCE de la Comuna de Longaví, de 2012. El plan apunta al origen del riesgo, en forma permanente e integrada, es decir, al manejo integral de la Protección Civil, por lo que se propone la elaboración de diagnósticos, planificar y ejecutar las acciones que apuntan a las fases de prevención, respuesta y recuperación. Dispone de una planificación en materia de Protección Civil de carácter indicativo, destinada al desarrollo de acciones permanentes para la prevención y atención de emergencias y desastres en la comuna, a partir de una visión integral del manejo de riesgos. Se aportan los Mapas de Riesgo de la comuna para: derrumbes, emergencia química, incendio forestal, inundaciones, y nevadas. "/>
    <s v="Información relevante en el diagnóstico de eventos extremos como base a la mitigación a nivel comunal"/>
    <s v="No"/>
    <m/>
  </r>
  <r>
    <s v="EX035"/>
    <s v="EX"/>
    <n v="35"/>
    <x v="5"/>
    <s v="EVENTOS EXTREMOS DE PRECIPITACIÓN Y TEMPERATURA EN CHILE: PROYECCIONES PARA FINES DE SIGLO XXI."/>
    <n v="2013"/>
    <s v="Claudia Paola Villarroel"/>
    <s v="Universidad de Chile"/>
    <x v="4"/>
    <s v="Nacional"/>
    <s v="Analiza los indicadores climáticos extremos de precipitación y temperatura propuestos por el Expert Team on Climate Change Detection Monitoring and Indices (ETCCDMI), a partir de series diarias de temperaturas extremas y precipitación en 17 puntos a lo largo de Chile, correspondientes al periodo 1961-1990. Este estudio y otros recientes muestran que la temperatura mínima diaria aumentó significativamente en el periodo 1961-1990, entre los 18°S y 40°S. Por otra parte, se observó un incremento significativo en el porcentaje de días al año cuando la temperatura máxima sobrepasa el percentil 90% (noches cálidas), en el número de días con temperatura máxima por sobre los 25°C (días de verano) y en la frecuencia de días con temperatura mínima superior a 20°C (noches tropicales), mientras que los indicadores de extremos fríos disminuyeron su frecuencia. Asimismo, en un porcentaje importante de indicadores se observa que la tendencia cambia al considerar un periodo más extenso (1961-2010), demostrando que la variabilidad decadal incide significativamente en las tendencias climáticas, lo que conlleva a incertidumbre en la interpretación futura. Este estudio muestra que la temperatura mínima diaria aumentó significativamente en el periodo 1961-1990, y un incremento significativo en el porcentaje de días al año cuando la temperatura máxima sobrepasa el percentil 90% (noches cálidas), mientras que los indicadores de extremos fríos disminuyeron su frecuencia. Asimismo, en un porcentaje importante de indicadores se observa que la tendencia cambia al considerar un periodo más extenso (1961-2010), demostrando que la variabilidad decadal incide significativamente en las tendencias climáticas. Se proyectan los valores climáticos principales para finales del siglo XXI."/>
    <s v="Información relevante para el análisis de eventos extremos especialmente en diagnóstico de indicadores de dichos eventos."/>
    <s v="Si"/>
    <m/>
  </r>
  <r>
    <s v="EX040"/>
    <s v="EX"/>
    <n v="40"/>
    <x v="1"/>
    <s v="PLAN PROVINCIAL DE EMERGENCIA 2014 CURICÓ"/>
    <n v="2014"/>
    <s v="-"/>
    <s v="Gobernación Provincial de Curicó"/>
    <x v="4"/>
    <s v="Provincial"/>
    <s v="Documento elaborado por la Dirección Provincial de Protección Civil y Emergencia, y se ha basado en el Plan Nacional de Protección Civil elaborado por ONEMI. Este Plan busca potenciar las capacidades preventivas regionales y comunales, sin descuidar el continuo perfeccionamiento de las actividades de preparación y atención de emergencias o desastres, pasando a constituirse en un instrumento indicativo para la gestión descentralizada, de acuerdo a las específicas realidades de riesgos y de recursos de cada área geográfica. Presenta numerosas tablas de roles y organigramas para los distintos horizontes de las emergencias."/>
    <s v="Información relevante para el análisis de eventos extremos como plan de alerta temprana de la provincia de Curicó"/>
    <s v="Si"/>
    <m/>
  </r>
  <r>
    <s v="EX050"/>
    <s v="EX"/>
    <n v="50"/>
    <x v="1"/>
    <s v="POLÍTICA NACIONAL DE PARA LA GESTIÓN DE RIESGO DE DESASTRES"/>
    <n v="2014"/>
    <s v="-"/>
    <s v="ONEMI"/>
    <x v="4"/>
    <s v="Nacional"/>
    <s v="Este documento fue realizado por la Plataforma Nacional durante los años 2012 y 2013,  se divide en tres partes. La primera se refiere a la importancia de contar en Chile con una política en gestión del riesgo. La segunda está constituida por la formulación de la política, los principios rectores, los ejes estratégicos y los objetivos consensuados por cada mesa de trabajo. Finalmente, se muestran una serie de anexos que complementan el documento, en donde se describe brevemente la contextualización geográfica de Chile y sus amenazas de origen natural, el marco normativo que existe en relación a la gestión del riesgo y la metodología de trabajo que fundamenta la formulación de la política. "/>
    <s v="Información relevante para el análisis de eventos extremos, establece ejes estratégicos de gestión de riesgos."/>
    <s v="Si"/>
    <m/>
  </r>
  <r>
    <s v="EX060"/>
    <s v="EX"/>
    <n v="60"/>
    <x v="1"/>
    <s v="PROTOCOLO ONEMI-SHOA PARA EVENTO DE TSUNAMI EN LAS COSTAS DE CHILE"/>
    <n v="2014"/>
    <s v="ONEMI-SHOA"/>
    <s v="Gobierno de Chile"/>
    <x v="4"/>
    <s v="Nacional"/>
    <s v="Es la tercera versión (18/11/2014) del Protocolo ONEMI-SHOA, que da las instrucciones sobre la coordinación del Sistema Nacional de Alarmas de Maremotos (SNAM), y las instituciones que la componen. El Servicio Hidrográfico y Oceanográfico de la Armada de Chile (SHOAC) es el organismo técnico, permanente y oficial del Estado responsable de la operación del SNAM, por su parte, la Oficina Nacional de Emergencia del Ministerio del Interior y Seguridad Pública (ONEMI), tiene la responsabilidad de adoptar las medidas pertinentes para la aplicación Plan Nacional de Protección Civil ante el riesgo de tsunamis. Responsabilidades, procesos, acciones, y boletines informativos de alertas."/>
    <s v=" Información relevante en el diagnóstico de eventos extremos para el concocimiento de plan de accion antes Tsunamis."/>
    <s v="No"/>
    <m/>
  </r>
  <r>
    <s v="EX065"/>
    <s v="EX"/>
    <n v="65"/>
    <x v="1"/>
    <s v="PLAN COMUNAL DE PROTECCIÓN CIVIL Y EMERGENCIA.  CHANCO"/>
    <n v="2014"/>
    <s v="Municipalidad Chanco"/>
    <s v="Municipalidad Chanco"/>
    <x v="4"/>
    <s v="Comunal"/>
    <s v="El PCPCYE de la Comuna de Chanco de 2014. Las frecuentes amenazas de origen natural o antrópicas a que es sometida la comuna, están contempladas en este Plan o Guía, tales como incendios, crecidas, sequías, sismos, accidentes de tránsito, etc. Se dispone de una planificación para el Comité de Protección Civil y Emergencia y la comunidad, destinada al desarrollo de acciones permanentes para la prevención y atención de emergencias y desastres en la Comuna, con una visión integral de manejo de riesgos. "/>
    <s v="Información relevante en el diagnóstico de eventos extremos como base a la mitigación a nivel comunal"/>
    <s v="No"/>
    <m/>
  </r>
  <r>
    <s v="EX070"/>
    <s v="EX"/>
    <n v="70"/>
    <x v="1"/>
    <s v="PLAN REGIONAL DE EMERGENCIA. AÑO 2015"/>
    <n v="2015"/>
    <s v="-"/>
    <s v="Ministerio Interior"/>
    <x v="4"/>
    <s v="Regional"/>
    <s v="El Plan Regional de Emergencia define la gestión integral del manejo de riesgos y reducción de desastres en la Región del Maule, como estrategia efectiva de coordinación, con un claro enfoque participativo, integrando instancias sectoriales, científico-técnicas, privadas, voluntariado y comunidad organizada, en los niveles regional, provincial y comunal. Tiene como objetivos, arbitrar medidas orientadas a la educación, entrenamiento y capacitación de la población y de disponer de especialistas en protección civil para enfrentar de manera rápida, ordenada y segura, los problemas creados por: Terremotos y maremotos (tsunamis); Incendios con riesgo de explosión/contaminación; Incendios forestales; Temporales, inundaciones, aluviones; Accidentes con gran número de víctimas; Interrupciones de servicios vitales; Intoxicaciones masivas de la población; Derrame de sustancias químicas peligrosas; Accidentes en alta montaña; Epidemias y plagas; Sequías; Actividad volcánica; Radiación atómica. "/>
    <s v="Información relevante para el análisis de eventos extremos, contiene los procedimientos, sistemas, roles y  entre otros ítems ante desastres o catástrofes. Contiene información relativa a la respuesta técnica operativa y táctica ante estos eventos, como la formación del Comité de Operaciones de Emergencia."/>
    <s v="Si"/>
    <m/>
  </r>
  <r>
    <s v="EX080"/>
    <s v="EX"/>
    <n v="80"/>
    <x v="1"/>
    <s v="PLAN DE EMERGENCIA PROVINCIAL CAUQUENES"/>
    <n v="2015"/>
    <s v="-"/>
    <s v="Gobernación Provincial"/>
    <x v="4"/>
    <s v="Provincial"/>
    <s v="El PEP de Cauquenes establece normas, procedimientos y niveles de coordinación y responsabilidad de los diferentes estamentos públicos y privados, así como, de autoridades civiles, de orden y seguridad, para que en conjunto estructuren un plan y mando único, que permitan brindar respuesta oportuna y satisfactoria a la población, en la probabilidad que suceda una catástrofe que afecte a parte o la Provincia en general, actuando antes, durante y después de una situación de Emergencia."/>
    <s v="Información relevante para el análisis de eventos extremos como plan de alerta temprana de la provincia de Cauquenes"/>
    <s v="Si"/>
    <m/>
  </r>
  <r>
    <s v="EX090"/>
    <s v="EX"/>
    <n v="90"/>
    <x v="1"/>
    <s v="PLAN DE EMERGENCIA PROVINCIAL LINARES"/>
    <n v="2015"/>
    <s v="-"/>
    <s v="Gobernación Provincial"/>
    <x v="4"/>
    <s v="Provincial"/>
    <s v="El PEP de Linares del año 2015, se desprende del nuevo Plan que consulta los aspectos preventivos, de mitigación, de preparación y alerta temprana, que responde a los compromisos internacionales suscritos por Chile en la “Década Internacional de Reducción de Desastres Naturales” y a la modernización del propio Sistema Nacional de Protección Civil, de acuerdo al Decreto Supremo de Interior N° 156 del 12 de marzo de 2002. Dispone de un marco nacional de gestión en protección civil que, bajo una perspectiva de administración descentralizada, sirve de base estructurada para las planificaciones regionales, provinciales y comunales, según las respectivas realidades de riesgos y de recursos."/>
    <s v="Información relevante para el análisis de eventos extremos como plan de alerta temprana de la provincia de Linares"/>
    <s v="Si"/>
    <m/>
  </r>
  <r>
    <s v="EX100"/>
    <s v="EX"/>
    <n v="100"/>
    <x v="1"/>
    <s v="PLAN DE EMERGENCIA PROVINCIAL TALCA"/>
    <n v="2015"/>
    <s v="-"/>
    <s v="Gobernación Provincial"/>
    <x v="4"/>
    <s v="Provincial"/>
    <s v="El PEP de Talca del año 2015, estructura las acciones frente a una situación que amenace o afecte directa o indirectamente a la población, a sus instalaciones, a sus vías de comunicación y a sus fuentes de abastecimiento, esto mediante una planificación y coordinación de acciones que permitan prevenir, educar y reaccionar, como así mismo atender satisfactoriamente a los requerimientos de la comunidad, activando para ello un plan preestablecido, probado y conocido por todos los entes participantes, actuando antes, durante y después de una catástrofe, para intentar mitigar el daño e impacto del fenómeno adverso. "/>
    <s v="Información relevante para el análisis de eventos extremos como plan de alerta temprana de la provincia de Talca"/>
    <s v="Si"/>
    <m/>
  </r>
  <r>
    <s v="EX113"/>
    <s v="EX"/>
    <n v="113"/>
    <x v="1"/>
    <s v="PLAN COMUNAL DE EMERGENCIA. COMUNA DE CAUQUENES"/>
    <n v="2015"/>
    <s v="Municipalidad Cauquenes"/>
    <s v="Municipalidad Cauquenes"/>
    <x v="4"/>
    <s v="Comunal"/>
    <s v="El PCE de la Comuna de Cauquenes, tiene como objetivo velar por la seguridad de los ciudadanos de la comuna de Cauquenes, sus bienes y medio ambiente, a través de la Gestión del Riesgo. El Plan tiene la misión de asesorar técnicamente a la autoridad en materias relacionadas con la Gestión del Riesgo, desarrollar las coordinaciones pertinentes con las diferentes instituciones y Servicios del Estado, Empresas, voluntariado, entidades científico-técnico y comunidad, en pro del desarrollo de acciones que concluyan en el bienestar biosicosocial y económico de la comunidad, para un desarrollo integral. Establece el Sistema de Alerta, verde, amarilla y roja. Cita como instrumentos normalizados, los informes Alfa, Beta, y de Respaldos."/>
    <s v="Información relevante en el diagnóstico de eventos extremos como base a la mitigación a nivel comunal"/>
    <s v="No"/>
    <m/>
  </r>
  <r>
    <s v="EX114"/>
    <s v="EX"/>
    <n v="114"/>
    <x v="1"/>
    <s v="PLAN COMUNAL DE PROTECCIÓN CIVIL Y EMERGENCIA.  PARRAL"/>
    <n v="2015"/>
    <s v="Municipalidad Parral"/>
    <s v="Municipalidad Parral"/>
    <x v="4"/>
    <s v="Comunal"/>
    <s v="El PCPCYE de la Comuna de Parral, tiene como objetivo contribuir a mejorar la seguridad de las personas, sus bienes y su medio ambiente, sustentado en los principios básicos del sistema de protección civil, que son la ayuda mutua y el uso escalonado de los recursos de la Comuna de Parral. Se trata de un instrumento de la gestión en el cual los medios humanos y materiales disponibles, y los procedimientos de actuación para la prevención de riesgos se encuentran organizados, ordenados, estructurados y priorizados. Estructura las competencias y los roles de los distintos actores de los Comités intervinientes en la comuna de Parral, frente a una situación de alerta."/>
    <s v="Información relevante en el diagnóstico de eventos extremos como base a la mitigación a nivel comunal"/>
    <s v="No"/>
    <m/>
  </r>
  <r>
    <s v="EX115"/>
    <s v="EX"/>
    <n v="115"/>
    <x v="1"/>
    <s v="PLAN COMUNAL DE PROTECCIÓN CIVIL.  COMUNA DE LINARES"/>
    <n v="2015"/>
    <s v="Municipalidad Linares"/>
    <s v="Municipalidad Linares"/>
    <x v="4"/>
    <s v="Comunal"/>
    <s v="El PCPC de la Comuna de Linares del 2015, tiene como objetivos disponer de una planificación multisectorial en materia de Protección Civil, de carácter indicativo, destinada al desarrollo de acciones permanentes para la prevención y atención de emergencias y desastres en el país, a partir de una visión integral de manejo del riesgo, bajo una perspectiva de administración descentralizada, y sirva de base estructurada para las planificaciones regionales, provinciales y comunales, según las respectivas realidades de riesgos y de recursos, estableciendo el ámbito general de las coordinaciones entre los distintos sectores y actores. Delimitando las responsabilidades políticas, legales, científicas, técnicas, como operativas, del Sistema Nacional de Protección Civil, en cada una de las etapas del ciclo de manejo de riesgos. Adicionalmente en el Capítulo VI, se definen los mapas de las distintas áreas de la Microzonificación de Linares para atender las situaciones de alertas por riesgo."/>
    <s v="Información relevante en el diagnóstico de eventos extremos como base a la mitigación a nivel comunal"/>
    <s v="No"/>
    <m/>
  </r>
  <r>
    <s v="EX116"/>
    <s v="EX"/>
    <n v="116"/>
    <x v="1"/>
    <s v="PLAN COMUNAL DE PROTECCIÓN CIVIL Y EMERGENCIA.  PELLUHUE"/>
    <n v="2015"/>
    <s v="Municipalidad Pellhué"/>
    <s v="Municipalidad Pellhué"/>
    <x v="4"/>
    <s v="Comunal"/>
    <s v="El PCPCYE de la Comuna de Pelluhue, tiene como objetivos, el disponer de una planificación para el Comité de Protección Civil y Emergencia y la comunidad, destinada al desarrollo de acciones permanentes para la prevención y atención de emergencias y desastres en la Comuna, mantener una coordinación permanente con la Dirección Provincial y Regional de Emergencia, promover y ejecutar jornadas de capacitación para Juntas de Vecinos y otras organizaciones sobre Protección Civil y Emergencia, realizar procesos de Microzonificación de riesgos y recursos en el Comité y con la Comunidad, elaborar y mantener vigentes actividades para preparar y definir roles y funciones de los integrantes del Comité de Protección Civil y Emergencia."/>
    <s v="Información relevante en el diagnóstico de eventos extremos como base a la mitigación a nivel comunal"/>
    <s v="No"/>
    <m/>
  </r>
  <r>
    <s v="EX117"/>
    <s v="EX"/>
    <n v="117"/>
    <x v="1"/>
    <s v="PLAN COMUNAL DE EMERGENCIA. COMUNA DE TALCA"/>
    <n v="2015"/>
    <s v="Municipalidad Talca"/>
    <s v="Municipalidad Talca"/>
    <x v="4"/>
    <s v="Comunal"/>
    <s v="El PCE de la Comuna de Talca de 2015, es un Plan Comunal de Protección Civil y Emergencias de la comuna de Talca, que es una herramienta de gestión mediante el cual la Unidad Comunal de Protección Civil y Emergencias organiza, ordena, estructura y prioriza las unidades, medios y recursos disponibles, correspondiente a su unidad territorial, ante eventuales riesgos y emergencias, que amenazan a las personas, propiedades o sistemas de la comunidad. Tiene como objetivos disponer de una herramienta de planificación en materia de Protección Civil de carácter consultivo indicativo, destinada al desarrollo de acciones permanentes para la prevención y atención de emergencias y desastres en la comuna, a partir de una visión integral del manejo de riesgos."/>
    <s v="Información relevante en el diagnóstico de eventos extremos como base a la mitigación a nivel comunal"/>
    <s v="No"/>
    <m/>
  </r>
  <r>
    <s v="EX120"/>
    <s v="EX"/>
    <n v="120"/>
    <x v="1"/>
    <s v="GESTIÓN REGIONAL PLAN INVIERNO 2015. INFORME EJECUTIVO Nº 1"/>
    <n v="2015"/>
    <s v="-"/>
    <s v="Ministerio Interior"/>
    <x v="4"/>
    <s v="Regional"/>
    <s v="La GRPI del 2015, Se trata de una predicción realizada para el invierno de 2015, de acuerdo a un trabajo realizado en el levantamiento de información regional Plan de Invierno 2015, la Dirección Regional ONEMI Maule, identifica un total de 470 puntos críticos distribuidos en las 30 comunas de la región; los que se los clasifica en puntos críticos de Muy Alto Riesgo, puntos críticos de Alto Riesgo, puntos críticos de Medio Riesgo y puntos críticos de Bajo Riesgo. Este levantamiento se hizo sobre las potenciales actividades previstas para mitigar los riesgos, entre las que se destacan: 1) Limpieza de lechos, esteros, ríos, y canales, 2) Mejoramiento de colectores, desagües y evacuación aguas lluvias, 3) Defensas fluviales y construcción de gaviones, 4) Contención de laderas, 5) Mantenimiento de rutas, 6) Construcción de diques y estructuras ante crecidas, y 7) Limpieza de piscinas decantadoras."/>
    <s v="Información relevante para el análisis de eventos extremos donde se detallan los puntos críticos proyectados para el ultimo año 2015."/>
    <s v="Si"/>
    <m/>
  </r>
  <r>
    <s v="IH010"/>
    <s v="IH"/>
    <n v="10"/>
    <x v="6"/>
    <s v="PROYECTO CANAL LINARES. RESUMEN GENERAL"/>
    <n v="1991"/>
    <s v="CEDEC Ltda"/>
    <s v="Comisión Nacional de Riego (CNR)"/>
    <x v="5"/>
    <s v="Subcuenca del Maule"/>
    <s v="Se trata del Resumen Ejecutivo del proyecto del canal. Es un Estudio de factibilidad que analiza una serie de alternativas, escogiendo como favorable de entre todas las alternativas, el caso 11 variante L 70. Los parámetros más importantes de esta alternativa y los resultados de su evaluación económica definieron un canal con una capacidad máxima inicial de 70 m3/seg, con una longitud de 74.3 km desde su bocatoma hasta el canal Ibáñez situado al norte del sistema Digua. Cruza varios cauces naturales, tales como los ríos Putagán, Achibueno y Longavi, entre otros."/>
    <s v=" Información relevante en el diagnóstico de infrastructura hidraulica en base al catastro de canales y bocatomas."/>
    <s v="No"/>
    <m/>
  </r>
  <r>
    <s v="IH020"/>
    <s v="IH"/>
    <n v="20"/>
    <x v="4"/>
    <s v="ESTUDIO DE SÍNTESIS DE CATASTROS DE USUARIOS DE AGUA E INFRAESTRUCTURAS DE APROVECHAMIENTO.VOLUMEN II"/>
    <n v="1991"/>
    <s v="Ricardo Edwars"/>
    <s v="Dirección General de Aguas (DGA)"/>
    <x v="5"/>
    <s v="Regional"/>
    <s v="El Catastro Público de Aguas está constituido por archivos, registros e inventarios que el reglamento establece, se consignan todos los datos, actos y antecedentes que dan relación con el recurso hídrico, con las obras de desarrollo del mismo, con los derechos de aprovechamiento, con los derechos reales constituidos sobre éstos y con las obras construidas o que se construyan para ejercerlos. El Estudio se desarrolla en tres capítulos, i) Introducción y marco lega, ii) Metodología de Trabajo, y iii) Análisis y síntesis por cuenca. Se presentan los planos de las cuencas con el área catastrada, y el diagrama unifilar asociado."/>
    <s v="Información relevante en el diagnóstico de infrastructura hidraulica en base al catastro."/>
    <s v="No"/>
    <s v="SIT6"/>
  </r>
  <r>
    <s v="IH030"/>
    <s v="IH"/>
    <n v="30"/>
    <x v="4"/>
    <s v="CATASTRO E INSPECCIÓN PRELIMINAR DE EMBALSES MAYORES. TERCERA ETAPA. SEXTA Y SÉPTIMA REGIONES. VOLUMEN II CATASTRO DE EMBALSES MAYORES 7ª REGIÓN"/>
    <n v="1996"/>
    <s v="FIGUEIREDO FERRAZ Consultoría e Ingeniería de Proyecto Ltda."/>
    <s v="Dirección General de Aguas (DGA)"/>
    <x v="5"/>
    <s v="Regional"/>
    <s v="El Estudio presenta la información recolectada y procesada de los embalses mayores de la Sexta y Séptima Región, definiendo como embalses mayores aquellos que tienen una capacidad máxima de 50.000 m3 o muros con más de 5 m de altura. El alcance general que tiene este catastro de embalses, es el de la recolección y análisis de las características físicas de las obras e hidrográficas de los cuerpos de agua , mediante visitas de expertos al terreno; la toman de algunas dimensiones típicas de dichas obras, y la obtención de información mediante la entrevista a sus propietarios y/o beneficiarios. En aquellos casos en que se tuvo acceso a los proyectos, se verificaron algunos datos técnicos estimados en las visitas."/>
    <s v="Información relevante en el diagnóstico de infrastructura hidraulica en base al catastro  y detalle de embases."/>
    <s v="No"/>
    <s v="SIT34"/>
  </r>
  <r>
    <s v="IH035"/>
    <s v="IH"/>
    <n v="35"/>
    <x v="6"/>
    <s v="ESTUDIOS PRE FACTIBILIDAD EMBALSE ESTACIONAL TABUNCO, COMUNA DE CUREPTO, VII REGIÓN AÑO 2000"/>
    <n v="1999"/>
    <s v="FIGUEIREDO FERRAZ Consultoría e Ingeniería de Proyecto Ltda."/>
    <s v="Dirección de Obras Hidráulicas (DOH)"/>
    <x v="5"/>
    <s v="Comunal"/>
    <s v="Estudio de alternativas de sitios para la construcción de un embalse estacional en la zona de Tabunco, analizando ventajas e inconvenientes, y desarrolando la más rentable desde el punto de visto social"/>
    <s v="Información relevante en el diagnóstico de infrastructura hidraulica en base al catastro y de embalse, en este caso Tabuco."/>
    <s v="No"/>
    <m/>
  </r>
  <r>
    <s v="IH040"/>
    <s v="IH"/>
    <n v="40"/>
    <x v="4"/>
    <s v="LEVANTAMIENTO DE BOCATOMAS EN CAUCES NATURALES_V1,V2,V12,V14"/>
    <n v="2000"/>
    <s v="Ayala, Cabrera y Asociados Ltda."/>
    <s v="Dirección General de Aguas (DGA)"/>
    <x v="5"/>
    <s v="Cuenca Maule"/>
    <s v="En el contexto de los levantamientos de bocatomas, la Dirección General de Aguas del MOP promueve la realización de un primer catastro y levantamiento general de las bocatomas que captan aguas en las cuencas de los ríos Aconcagua, Rapel, Mataquito y Maule tendentes a establecer el inventario público de extracciones autorizadas y el inventario público de extracciones efectivas de aguas desde los cursos citados. Se presentan los planos de cuencas y subcuencas de los cauces naturales, como las tablas de las bocatomas con su asignación de acciones y caudales."/>
    <s v="Información relevante en el diagnóstico de infrastructura hidraulica en base al catastro de canales y bocatomas."/>
    <s v="No"/>
    <s v="SIT64"/>
  </r>
  <r>
    <s v="IH050"/>
    <s v="IH"/>
    <n v="50"/>
    <x v="4"/>
    <s v="LEVANTAMIENTO Y CATASTRO DE BOCATOMAS EN CAUCES NATURALES, II ETAPA. INFORME FINAL"/>
    <n v="2000"/>
    <s v="CONIC-BF Ingenieros Civiles Consultores"/>
    <s v="Dirección General de Aguas (DGA)"/>
    <x v="5"/>
    <s v="Cuenca Maule"/>
    <s v="Se trata una segunda etapa de los levantamientos de bocatomas, de donde surge la necesidad de efectuar un profundo análisis de toda la información relativa a las extracciones efectuadas en cauces naturales, con énfasis en dos aspectos centrales, las extracciones autorizadas y las extracciones efectivas. Naturalmente se derivan actividades complementarias de terreno orientadas a la ubicación precisa de las obras de captación y sus características pertinentes cuando no existe información previamente levantada, la que en general es insuficiente. El Departamento de Estudios y Planificación de la Dirección General de Aguas encargó la ejecución del estudio &quot;Levantamiento de Bocatomas en Cauces Naturales, Il Etapa&quot;, y se realizó un exhaustivo reconocimiento de las obras de bocatoma en algunos cauces naturales, su ubicación, características, extracciones autorizadas y efectivas. Presenta las tablas con los listados de las bocatomas, y asignaciones de acciones y caudales."/>
    <s v="Información relevante en el diagnóstico de infrastructura hidraulica en base al catastro de canales y bocatomas."/>
    <s v="No"/>
    <s v="SIT66"/>
  </r>
  <r>
    <s v="IH060"/>
    <s v="IH"/>
    <n v="60"/>
    <x v="1"/>
    <s v="PLAN MAESTRO DE EVACUACION Y DRENAJE DE AGUAS LLUVIAS TALCA"/>
    <n v="2000"/>
    <s v="Ayala, Cabrera y Asociados Ltda."/>
    <s v="Dirección de Obras Hidráulicas (DOH)"/>
    <x v="5"/>
    <s v="Comunal"/>
    <s v="El Estudio incluye la formulación del “Plan Maestro de Evacuación y Drenaje de Aguas Lluvias de la Ciudad de Talca, VII Región”, que incluye además la localidad de Maule. El Plan tiene el siguiente alcance: i) Identifica y evalúa la problemática de la evacuación y drenaje de las aguas lluvias del área de estudio, y se proponen soluciones integrales, ii) Realiza una caracterización y diagnóstico de la situación actual, y se identifican los problemas, iii) Se seleccionan las zonas a sanear, iv) Propuesta de alternativas para dar solución a los problemas de evacuación y drenaje de las aguas lluvias, v) Se define y calcula la red primaria de sistemas de evacuación y drenaje de aguas lluvias, vi) Se priorizan los proyectos de inversión dentro del Plan Maestro de manera de que ello conduzca a la definición del Plan de Inversiones."/>
    <s v="Información relevante en el diagnóstico de infrastructura hidraulica refente a las obras de evacuacion y drenaje aguas lluvias en Talca."/>
    <s v="No"/>
    <m/>
  </r>
  <r>
    <s v="IH065"/>
    <s v="IH"/>
    <n v="65"/>
    <x v="6"/>
    <s v="PRE FACTIBILIDAD CONSTRUCCION EMBASE EL CIPRÉS"/>
    <n v="2001"/>
    <s v="EPS Ingeniería y Consultoría"/>
    <s v="Dirección de Obras Hidráulicas (DOH)"/>
    <x v="5"/>
    <s v="Subcuenca del Maule"/>
    <s v="El Estudio tiene como objetivo determinar el volumen óptimo del embalse Ciprés, mediante la evaluación y comparación económica de las soluciones. Se definieron cuatro alturas de presa dentro de las posibilidades físicas que ofrece el sitio de cierre del valle y, previo predimensionamiento de las estructuras y estimación de los respectivos presupuestos, se definió una función de “Costos de la presa y obras anexas versus Capacidad de embalse (Altura de la presa)” para escoger el diseño óptimo._x000a_"/>
    <s v=" Información relevante en el diagnóstico de infrastructura hidraulica en base al catastro y conocimeinto del embalse cipres."/>
    <s v="No"/>
    <m/>
  </r>
  <r>
    <s v="IH070"/>
    <s v="IH"/>
    <n v="70"/>
    <x v="1"/>
    <s v="PLAN MAESTRO DE EVACUACION Y DRENAJE DE AGUAS LLUVIAS LINARES"/>
    <n v="2002"/>
    <s v="Ayala, Cabrera y Asociados Ltda."/>
    <s v="Dirección de Obras Hidráulicas (DOH)"/>
    <x v="5"/>
    <s v="Comunal"/>
    <s v="Planos"/>
    <s v="Información relevante en el diagnóstico de infrastructura hidraulica refente a las obras de evacuacion y drenaje aguas lluvias en Linares."/>
    <s v="No"/>
    <m/>
  </r>
  <r>
    <s v="IH075"/>
    <s v="IH"/>
    <n v="75"/>
    <x v="1"/>
    <s v="PLAN MAESTRO DE EVACUACION Y DRENAJE DE AGUAS LLUVIAS CURICO"/>
    <n v="2002"/>
    <s v="Ayala, Cabrera y Asociados Ltda."/>
    <s v="Dirección de Obras Hidráulicas (DOH)"/>
    <x v="5"/>
    <s v="Comunal"/>
    <s v="Es la formulación del “Plan Maestro de Evacuación y Drenaje de Aguas Lluvias de la Ciudad de Curicó, VII Región”, que incluye además las localidades de Sarmiento y Romeral. El Plan tiene el siguiente alcance: i) Identifica y evalúa la problemática de la evacuación y drenaje de las aguas lluvias del área de estudio, y se proponen soluciones integrales, ii) Realiza una caracterización y diagnóstico de la situación actual, y se identifican los problemas, iii) Se seleccionan las zonas a sanear, iv) Propuesta de alternativas para dar solución a los problemas de evacuación y drenaje de las aguas lluvias, v) Se define y calcula la red primaria de sistemas de evacuación y drenaje de aguas lluvias, vi) Se priorizan los proyectos de inversión dentro del Plan Maestro de manera de que ello conduzca a la definición del Plan de Inversiones."/>
    <s v="Información relevante en el diagnóstico de infrastructura hidraulica refente a las obras de evacuacion y drenaje aguas lluvias en Curicó."/>
    <s v="No"/>
    <m/>
  </r>
  <r>
    <s v="IH080"/>
    <s v="IH"/>
    <n v="80"/>
    <x v="0"/>
    <s v="EL RIEGO EN CHILE"/>
    <n v="2003"/>
    <s v="JULIO SANDOVAL JERIA"/>
    <s v="Dirección de Obras Hidráulicas (DOH)"/>
    <x v="5"/>
    <s v="Nacional"/>
    <s v="Es una edición histórica y técnica de la evolución del riego en Chile, hace referencia a las distintas prácticas de riego en las distintas épocas, como así también a la legislación estatal sobre el riego. Realiza una visión general de la relación Suelos y Aguas, y finalmente presenta un inventario descriptivo de la Obras Hidráulicas Construidas entre los años 1939 a 2000. "/>
    <s v="Información relevante en el diagnóstico de infrastructura hidraulica en base al catastro de canales y bocatomas; y otros aspectos de sistema de riego en la Región."/>
    <s v="No"/>
    <m/>
  </r>
  <r>
    <s v="IH090"/>
    <s v="IH"/>
    <n v="90"/>
    <x v="1"/>
    <s v="PLAN MAESTRO DE MANEJO DE CAUCES CUENCA RIO MATAQUITO. VII REGION. ETAPA 5. INFORME FINAL"/>
    <n v="2003"/>
    <s v="Prisma Ingeniería Ltda."/>
    <s v="Dirección de Obras Hidráulicas (DOH)"/>
    <x v="5"/>
    <s v="Cuenca Mataquito"/>
    <s v="Corresponde a un documento orientador, tanto de las acciones estructurales (obras); como de las no-estructurales (acuerdos, regulaciones y procedimientos); las que en conjunto deben aplicarse a los cauces de manera de lograr los objetivos propuestos por el Plan. En su formulación se abordan los aspectos relacionados con las características asociadas al medio físico o sistema natural; las asociadas a las actividades humanas, o sistema social, que se relacionan con el cauce; y el sistema institucional asociado al cauce (organizaciones y leyes)."/>
    <s v="Información relevante en el desarrollo del capítulo de infraestructura hidráulica, especialmente en manejo de cauces y  defensas fluviales en los rios Teno, Lontué y Mataquito. Determinación de zonas indudables urbanas. Nuevas propuestas estructurales."/>
    <s v="Si"/>
    <m/>
  </r>
  <r>
    <s v="IH092"/>
    <s v="IH"/>
    <n v="92"/>
    <x v="1"/>
    <s v="PLAN MAESTRO DE MANEJO DE CAUCES CUENCA RIO MAULE VII REGION."/>
    <n v="2004"/>
    <s v="AC INGENIEROS CONSULTORES LTOA, Ayala Cabrera y Asociados Uda"/>
    <s v="Dirección de Obras Hidráulicas (DOH)"/>
    <x v="5"/>
    <s v="Cuenca Maule"/>
    <s v="El Plan Maestro de Manejo de los Cauces Naturales para los ríos Maule, Claro y Loncomilla es una herramienta de planificación y programación tendente a la identificación y ordenamiento de las acciones estructurales y no estructurales, y en el manejo integral de los cauces naturales en el ámbito hidráulico fluvial y su relación con los aspectos físicos, ambientales, legales, culturales y sociales asociados a su entorno. La programación de inversiones propuestas en el Plan Maestro debe ser objeto de revisiones y actualizaciones periódicas, de modo de incorporar aquellas modificaciones que resulten del mayor desarrollo urbano o agropecuario y permita evaluar los resultados y efectos del funcionamiento de los cauces y su entorno a lo largo del tiempo, como así también de aquellos cambios que pudieran derivarse de la aplicación de nueva políticas institucionales. El documento elaborado facilita la toma de decisiones futuras de la gestión y manejo del cauce, así como lo atinente a la coordinación entre los entes del Estado en su rol de agentes reguladores o inversores, o entes de tipo privado. "/>
    <s v="Información relevante en el desarrollo del capítulo de infraestructura hidráulica, especialmente en manejo de cauces y  defensas fluviales en los ríos Maule, Claro, Loncomilla. Determinación de zonas indudables urbanas. Nuevas propuestas estructurales."/>
    <s v="Si"/>
    <m/>
  </r>
  <r>
    <s v="IH093"/>
    <s v="IH"/>
    <n v="93"/>
    <x v="1"/>
    <s v="PLAN MAESTRO DE MANEJO DE CAUCES RIOS LONGAVÍ Y ACHIBUENO, VII REGION."/>
    <n v="2006"/>
    <s v="Prisma Ingeniería Ltda."/>
    <s v="Dirección de Obras Hidráulicas (DOH)"/>
    <x v="5"/>
    <s v="Subcuenca del Maule"/>
    <m/>
    <s v="Información relevante en el desarrollo del capítulo de infraestructura hidráulica, especialmente en manejo de cauces y  defensas fluviales. Incluye información útil en el análisis de insumos para la gestión hídrica. "/>
    <s v="Si"/>
    <m/>
  </r>
  <r>
    <s v="IH095"/>
    <s v="IH"/>
    <n v="95"/>
    <x v="6"/>
    <s v="ESTUDIO DE FACTIBILIDAD Y DISEÑO DEFINITIVO SISTEMA CUELLAR URBANIZADO, LINARES, VII REGIÓN"/>
    <n v="2006"/>
    <s v="AC INGENIEROS CONSULTORES LTOA, Ayala Cabrera y Asociados Uda"/>
    <s v="Dirección de Obras Hidráulicas (DOH)"/>
    <x v="5"/>
    <s v="Municipal"/>
    <s v="El Estudio apunta a resolver los problemas actuales de inundación por aguas lluvias en el sector de Cuellár Norponiente de Linares, desde el punto de vista de la factibilidad y el diseño de ingeniería a nivel de detalle de los proyectos propuestos en el Plan Maestro. También apunta a resolver los problemas de drenaje de aguas  lluvias futuros en un sector que, aunque actualmente corresponde a sectores agrícolas o de expansión urbana aún no están consolidados, pero se proyecta como el eje principal de la futura expansión urbana de la ciudad. Con el Diseño definitivo, la Dirección de Obras Hidráulicas dispone de los antecedentes técnicos y legales necesarios para proceder a licitar la construcción de las obras del sistema Cuéllar Norponiente, propuesto en el Plan Maestro de Evacuación y Drenaje de Aguas Lluvias de Linares."/>
    <s v="Información relevante en el diagnóstico de infrastructura hidraulica refente a las obras del embalse."/>
    <s v="No"/>
    <m/>
  </r>
  <r>
    <s v="IH100"/>
    <s v="IH"/>
    <n v="100"/>
    <x v="0"/>
    <s v="IMPLEMENTACIÓN DE UN SISTEMA DE INFORMACIÓN GEOGRÁFICA PARA LA GESTIÓN DEL PLAN MAESTRO DE AGUAS LLUVIAS DE TALCA"/>
    <n v="2008"/>
    <s v="SIGA Ingeniería y Consultoría S.A."/>
    <s v="Dirección de Obras Hidráulicas (DOH)"/>
    <x v="5"/>
    <s v="Comunal"/>
    <s v="La implementación de un SIG para la GPMALL de Talca, tiene el propósito de contar con información organizada y actualizada del Plan Maestro de evacuación de aguas lluvia de Talca realizado en el año 2000. La DOH mediante este proyecto de “Implementación de un SIG para la Gestión del Plan Maestro de Aguas Lluvia de Talca” (SIG-PM-09), genera un sistema de información alfanumérico y espacial (metadatos) que permite, por un lado, almacenar y actualizar la información elaborada por el Plan Maestro, con el propósito de utilizarla como insumo para el desarrollo de las diferentes etapas de un proyecto, desde el nivel de factibilidad hasta su ejecución, y por otro, para el seguimiento físico de la operación de las obras proyectadas."/>
    <s v="Información relevante en el diagnóstico de infrastructura hidraulica refente al SIG de Plan Maestro de aguas Lluvias de Talca."/>
    <s v="No"/>
    <m/>
  </r>
  <r>
    <s v="IH110"/>
    <s v="IH"/>
    <n v="110"/>
    <x v="4"/>
    <s v="PROGRAMA DE CONSTRUCCIÓN Y REHABILITACIÓN DE OBRAS MEDIANAS DE RIEGO -PROM. CATASTRO DE OBRAS DE RIEGO Y ELABORACIÓN DEL PLAN DE INVERSIONES AL AÑO 2018 ZONA SUR REGIONES DE O'HIGGINS A MAGALLANES. INFORME FINAL (RESUMEN EJECUTIVO Y TOMO IV: ANEXOS B y C)"/>
    <n v="2009"/>
    <s v="PROCIVIL INGENIERIA LTDA."/>
    <s v="Comisión Nacional de Riego (CNR)"/>
    <x v="5"/>
    <s v="Regional"/>
    <s v="Contempla lo siguientes objetivos: _x000a_Elaborar un catastro de nuevas iniciativas de proyectos, a partir de informaciones recabadas en las diferentes Comisiones Regionales de Riego con sus prioridades y además en las mismas organizaciones de regantes._x000a_Definir las temáticas de mayor interés para los estudios básicos que requiere el avance de las nuevas iniciativas._x000a_Recomendar criterios de priorización de iniciativas._x000a_Establecer flujos anuales de recursos financieros para obras, estudios, programas complementarios._x000a_Implementar un sistema informático para el control de avance las iniciativas."/>
    <s v="Información relevante en el diagnóstico de infrastructura hidraulica en base al catastro de iniciativas integradas en el documento vinculdas y de interes en la gestion de recursos hidricos."/>
    <s v="No"/>
    <m/>
  </r>
  <r>
    <s v="IH130"/>
    <s v="IH"/>
    <n v="130"/>
    <x v="4"/>
    <s v="CATASTRO DE EMBALSES UBICADOS ENTRE LAS REGIONES DE VALPARAÍSO Y LA ARAUCANÍA. INFORME FINAL"/>
    <n v="2010"/>
    <s v="AQUATERRA INGENIEROS LTDA"/>
    <s v="Dirección General de Aguas (DGA)"/>
    <x v="5"/>
    <s v="Regional"/>
    <s v="El Catastro de Embalses abarca las siguientes actividades: i) Se realiza un catastro de todos los embalses ubicados dentro de la zona de catástrofe individualizada en el Decreto Supremo N°150, de 27 de Febrero de 2010, del Ministerio del Interior (Regiones V a la IX), ii) Se confeccionan archivos shape temáticos de los embalses, con una base de datos completa, iii) Se producen proyectos SIG, uno para cada región, y uno a nivel nacional, iv) Se elaboran mapas a nivel de cada Región. El número total de embalses catastrados en la Región VII Maule es de 69 según las fuentes documentales oficiales, mientras que desde Google Earth se identifican 212. Se presentan los resultados de los proyectos SIG de los embalses._x000a_"/>
    <s v=" Información relevante en el diagnóstico de infrastructura hidraulica refente a las obras de embalses y datos incluyentes en el catastro."/>
    <s v="No"/>
    <s v="SIT231"/>
  </r>
  <r>
    <s v="IH131"/>
    <s v="IH"/>
    <n v="131"/>
    <x v="4"/>
    <s v="CATASTRO DE EMBALSES UBICADOS ENTRE LAS REGIONES DE VALPARAÍSO Y LA ARAUCANÍA. CARTA"/>
    <n v="2010"/>
    <s v="AQUATERRA INGENIEROS LTDA"/>
    <s v="Dirección General de Aguas (DGA)"/>
    <x v="5"/>
    <s v="Regional"/>
    <s v="Es la Carta topográfica con la información de los embalses de la Región VII Maule, según las fuentes oficiales."/>
    <s v="Información relevante en el diagnóstico de infrastructura hidraulica refente a las obras de evacuacion y drenaje aguas lluvias en Curicó."/>
    <s v="No"/>
    <s v="SIT231"/>
  </r>
  <r>
    <s v="IH140"/>
    <s v="IH"/>
    <n v="140"/>
    <x v="1"/>
    <s v="PLAN MAESTRO DE EVACUACION Y DRENAJE DE AGUAS LLUVIAS CONSTITUCIÓN"/>
    <n v="2010"/>
    <s v="Consultoría Luis Arrau del Canto"/>
    <s v="Dirección de Obras Hidráulicas (DOH)"/>
    <x v="5"/>
    <s v="Comunal"/>
    <s v="El Estudio se enmarca en un programa puesto en marcha por la DOH para materializar el cumplimiento de la Ley N°19.525. Dicha ley, que regula sistemas de evacuación y drenaje de aguas lluvias, fue publicada el 10 de noviembre de 1997 en el Diario Oficial. A tavés de esta ley, la DOH tiene la responsabilidad sobre la planificación, estudio, proyección, construcción, operación, reparación, conservación y mejoramiento de la red primaria de sistemas de evacuación y drenaje de aguas lluvias, hasta su evacuación en cauces naturales. El área de estudio se sitúa en la comuna de Constitución, VII Región del Maule y el área de influencia de este Estudio comprende la ciudad de Constitución y su área de expansión, que incluye principalmente el sector de Quivolgo. _x000a_"/>
    <s v=" Información relevante en el diagnóstico de infrastructura hidraulica refente a las obras de evacuacion y drenaje aguas lluvias en Constitución."/>
    <s v="No"/>
    <m/>
  </r>
  <r>
    <s v="IH145"/>
    <s v="IH"/>
    <n v="145"/>
    <x v="0"/>
    <s v="INFORME DE REPARACIÓN SIFÓN METALICO, CANAL CUMPEO, REGIÓN DEL MAULE "/>
    <n v="2010"/>
    <s v="SIGA Ingeniería y Consultoría S.A."/>
    <s v="Dirección de Obras Hidráulicas (DOH)"/>
    <x v="5"/>
    <s v="Comunal"/>
    <s v="Es el Informe de Reparación del sifón de tubería metálica del Canal Cumpeo sobre el río Claro. Por las indicaciones del informe, el sifón adolecía de falta de mantenimiento, y se encontraba muy aterrado con sedimentos, además de tener un para de tramos con abolladuras. Al conducto metálico de 1,20 m de diámetro y 85 m de largo, se le extraen los sedimentos mediante palas y cubos, y se cambian ambos tramos de por conductos nuevos de unos 2,00 m cada uno. El trabajo completo se realiza en un mes."/>
    <s v=" Información poco relevante."/>
    <s v="No"/>
    <m/>
  </r>
  <r>
    <s v="IH146"/>
    <s v="IH"/>
    <n v="146"/>
    <x v="0"/>
    <s v="ASESORÍA DE INSPECCIÓN OBRA REPARACIÓN DE EMERGENCIA DEL CANAL CUMPEO, REGIÓN DEL MAULE. INFORME FINAL"/>
    <n v="2010"/>
    <s v="SIGA Ingeniería y Consultoría S.A."/>
    <s v="Dirección de Obras Hidráulicas (DOH)"/>
    <x v="5"/>
    <s v="Comunal"/>
    <s v="Informe final de la Asesoría de Inspección de Obra de la reparación del Canal de Cumpeo, dañado por el terremoto de 27 de febrero de 2010.  Incluye la reparación de los túneles Lo Gálvez y Remolino, y  el tramo de canal abierto entre ambos. El Canal Cumpeo (5 m³/s) data del año 1870, fue construido a mano sin ningún tipo de refuerzo y actualmente es administrado por la Asociación de Canalistas, cuenta con capacidad para regar 4.000 hectáreas en la comuna de Río Claro, por lo que su reparación es de vital importancia para asegurar la temporada agrícola y frutal de la zona."/>
    <s v=" Información poco relevante."/>
    <s v="No"/>
    <m/>
  </r>
  <r>
    <s v="IH150"/>
    <s v="IH"/>
    <n v="150"/>
    <x v="0"/>
    <s v="MEJORAMIENTO DEL RIEGO EN RÍO TENO, REGIÓN DEL MAULE"/>
    <n v="2011"/>
    <s v="División de Estudios y desarrollo"/>
    <s v="Comisión Nacional de Riego (CNR)"/>
    <x v="5"/>
    <s v="Subcuenca del Mataquito"/>
    <s v="El documento detalla la situación del valle con proyecto, estudios básicos de clima, meteorología, situación de Junta de Vigilancia de Rio Teno, situación de los canales con derechos compartidos, un análisis legal sobre organizaciones de usuarios segunda sección del rio Archibueno, Derechos de aprovechamiento y distribución, proyecto de presa y obras anexas, beneficios agroeconómicos del proyectos, evaluación económica del proyecto."/>
    <s v=" Información relevante en el diagnóstico del catastro y derechos de usos; informacion existente de juntas de vigilacia."/>
    <s v="No"/>
    <m/>
  </r>
  <r>
    <s v="IH160"/>
    <s v="IH"/>
    <n v="160"/>
    <x v="0"/>
    <s v="ESTUDIO DE PERFIL. MEJORAMIENTO DEL RIEGO EN RÍO ARCHIBUENO, REGIÓN DEL MAULE"/>
    <n v="2011"/>
    <s v="División de Estudios y desarrollo"/>
    <s v="Comisión Nacional de Riego (CNR)"/>
    <x v="5"/>
    <s v="Subcuenca del Maule"/>
    <s v="El documento detalla la situación del valle con proyecto, estudios básicos de clima, meteorología, situación de Junta de Vigilancia de Rio Archibueno, situación de los canales con derechos compartidos, un análisis legal sobre organizaciones de usuarios segunda sección del rio Archibueno, Derechos de aprovechamiento y distribución, proyecto de presa y obras anexas, beneficios agroeconómicos del proyectos, evaluación económica del proyecto."/>
    <s v=" Información relevante en el diagnóstico del catastro y derechos de usos; informacion existente de juntas de vigilacia."/>
    <s v="No"/>
    <m/>
  </r>
  <r>
    <s v="IH170"/>
    <s v="IH"/>
    <n v="170"/>
    <x v="4"/>
    <s v="CATASTRO DE INICIATIVAS DE EMBALSES Y CANALES"/>
    <n v="2011"/>
    <s v="AQUATERRA INGENIEROS LTDA"/>
    <s v="Comisión Nacional de Riego (CNR)"/>
    <x v="5"/>
    <s v="Subcuenca del Maule"/>
    <s v="Catastro de iniciativas y canales , desarrolladas a nivel de idea, perfil, prefactibilidad, factiblidad y diseño en las 12 Regiones."/>
    <s v="Información relevante en el diagnóstico de infrastructura hidraulica refente a catastro de obras."/>
    <s v="No"/>
    <m/>
  </r>
  <r>
    <s v="IH180"/>
    <s v="IH"/>
    <n v="180"/>
    <x v="0"/>
    <s v="ESTIMACIÓN DEL POTENCIAL DE MICROGENERACIÓN ASOCIADO A OBRAS DE RIEGO. INFORME FINAL"/>
    <n v="2011"/>
    <s v="PROCIVIL INGENIERIA LTDA."/>
    <s v="Comisión Nacional de Riego (CNR)"/>
    <x v="5"/>
    <s v="Regional"/>
    <s v="Estudio de análisis de potenciales microgeneración desarrolladas por Energías Renovables no Convencionales. Completa un catastro de Potencial Hidroeléctrico menor a 2Mw asociado a obras de riego existentes o en proyectos."/>
    <s v="Información relevante en el diagnóstico de infrastructura hidraulica refente a las obrascentrasles hidroelectricas."/>
    <s v="No"/>
    <m/>
  </r>
  <r>
    <s v="IH190"/>
    <s v="IH"/>
    <n v="190"/>
    <x v="4"/>
    <s v="CATASTRO E INSPECCIÓN PRELIMINAR DE EMBALSES UBICADOS EN LAS REGIONES DE VALPARAÍSO, METROPOLITANA, DEL MAULE Y DE LA ARAUCANÍA"/>
    <n v="2011"/>
    <s v="AQUATERRA INGENIEROS LTDA"/>
    <s v="Dirección General de Aguas (DGA)"/>
    <x v="5"/>
    <s v="Regional"/>
    <s v="El objetivo del documento es realizar una catastro de los embalses orientado a la prevención de deterioro o eventual destrucción de estas obras pudiendo afectar a la seguridad de terceros._x000a_Realiza un catastro de los embalses según unas fichas de catastro, un estudio de crecidas , análisis de estabilidad, análisis de filtraciones y caudales de vertederos. En el punto último se analiza el Riesgo _x000a_"/>
    <s v="Información relevante en el diagnóstico de infrastructura hidraulica refente al catastro."/>
    <s v="No"/>
    <s v="SIT255"/>
  </r>
  <r>
    <s v="IH200"/>
    <s v="IH"/>
    <n v="200"/>
    <x v="3"/>
    <s v="EMBALSES PARA RIEGO CONSTRUIDOS POR EL ESTADO"/>
    <n v="2011"/>
    <s v="Dirección de Obras Hidráulicas"/>
    <s v="Ministerio de Obras Públicas"/>
    <x v="5"/>
    <s v="Regional"/>
    <s v="Fichas regionales de embalses para riego construidos, en ejecución y en estudio "/>
    <s v="Poco relevante"/>
    <s v="No"/>
    <m/>
  </r>
  <r>
    <s v="IH210"/>
    <s v="IH"/>
    <n v="210"/>
    <x v="6"/>
    <s v="SISTEMA DE REGADÍO EMBALSE LONGAVI-CEDEC, LINARES, REGIÓN DEL MAULE"/>
    <n v="2012"/>
    <s v="-"/>
    <s v="Comisión Nacional de Riego (CNR)"/>
    <x v="5"/>
    <s v="Comunal"/>
    <s v="En esta estapa de prefactibilidad, analiza alternativas de proyecto en el cauce del río Longaví, en particular en el sector denominado Longaví-CEDEC, y evalua los beneficios agrícolas que se generarían con su construcción."/>
    <s v="Información relevante en el diagnóstico de infrastructura hidraulica refente al cococimiento del embalse Longaví."/>
    <s v="No"/>
    <m/>
  </r>
  <r>
    <s v="IH220"/>
    <s v="IH"/>
    <n v="220"/>
    <x v="6"/>
    <s v="ESTUDIO DE PREFACTIBILIDAD PROYECTO CONSTRUCCIÓN DE  EMBALSE DE RIEGO HUEDQUE, COMUNA DE CAUQUENES. INFORME FINAL"/>
    <n v="2012"/>
    <s v="ARRAU INGENIERÍA E.I.R.L."/>
    <s v="Comisión Nacional de Riego (CNR)"/>
    <x v="5"/>
    <s v="Comunal"/>
    <s v="El objetivo del estudio es evaluar las alternativas de mejoramiento del sistema de riego de zona del río Huedque complementado con participación ciudadana. Realiza un diagnóstico del territorio en contextualización social y territorial de área de estudio, abordando la caracterización de actores y organizaciones, sus relaciones y las problemáticas que afrontan."/>
    <s v="Información relevante en el diagnóstico de infrastructura hidraulica refente al cococimiento del embalse Huadque sobre actores y organizaciones de usuarios."/>
    <s v="No"/>
    <m/>
  </r>
  <r>
    <s v="IH230"/>
    <s v="IH"/>
    <n v="230"/>
    <x v="6"/>
    <s v="CONSTRUCCION EVACUACIÓN AGUAS LLUVIAS SISTEMAS ESTERO EL CARBÓN CONSTITUCIÓN. ANEXOS Y ESTUDIO DE ANÁLISIS AMBIENTAL"/>
    <n v="2013"/>
    <s v="CONIC-BF Ingenieros Civiles Consultores"/>
    <s v="Dirección de Obras Hidráulicas (DOH)"/>
    <x v="5"/>
    <s v="Cuencas Costeras"/>
    <s v="Contiene los anexos del proyecto, entre ellos el Anexo de Hidrología, y el Estudio Ambiental. El estudio de hidroogía se limita al cálculo de la precipitación máxima en 24 horas para diferentes periodos de retorno (1 a 100 años) mediante diferentes funciones de ajustes (Normal, Gumbel, Pearson, Log-Normal y Log-Pearson), datos que se emplean en el modelo precipitación-escorrentía paraa generar los caudales de diseño de los colectores."/>
    <s v="Información relevante en el diagnóstico de infrastructura hidraulica refente al drenaje de las cuenca de Constitución."/>
    <s v="No"/>
    <m/>
  </r>
  <r>
    <s v="IH240"/>
    <s v="IH"/>
    <n v="240"/>
    <x v="6"/>
    <s v="ESTUDIO DE PREFACTIBILIDAD &quot;MEJORAMIENTO DEL SISTAMA DE RIEGO EN RÍO ACHIBUENO, REGIÓN DEL MAULE&quot;. TOMO III. &quot;ESTUDIOS HIDROLÓGICOS&quot;"/>
    <n v="2014"/>
    <s v="TIPSA Chile"/>
    <s v="Comisión Nacional de Riego (CNR)"/>
    <x v="5"/>
    <s v="Subcuenca del Maule"/>
    <s v="Tomo III Estudio Hidrológico del estudio de Prefactibilidad “Mejoramiento del Sistema de Riego en el Río Archibueno, Región del Maule”. Se divide en estudio Hidrológico y Modelos de Gestión de Recursos Hídricos."/>
    <s v="Información relevante para el análisis de eventos extremos como el estudio hidrológico del rio Archibueno."/>
    <s v="Si"/>
    <m/>
  </r>
  <r>
    <s v="IH245"/>
    <s v="IH"/>
    <n v="245"/>
    <x v="6"/>
    <s v="ESTUDIO DE FACTIBILIDAD MEJORAMIENTO DEL RIEGO DE LA CUENCA RÍO TENO, REGIÓN DEL MAULE"/>
    <n v="2014"/>
    <s v="-"/>
    <s v="-"/>
    <x v="5"/>
    <s v="Subcuenca del Maule"/>
    <m/>
    <s v=" -"/>
    <s v="No"/>
    <m/>
  </r>
  <r>
    <s v="IH250"/>
    <s v="IH"/>
    <n v="250"/>
    <x v="6"/>
    <s v="ESTUDIO BÁSICO DE ANÁLISIS DE ALTERNATIVAS PILOTO DE RECARGA ARTIFICIAL LONTUÉ, VII REGIÓN"/>
    <n v="2015"/>
    <s v="-"/>
    <s v="Dirección de Obras Hidráulicas (DOH)"/>
    <x v="5"/>
    <s v="Subcuenca del Mataquito"/>
    <s v="Anexos Digitales"/>
    <s v="Información relevante en el diagnóstico de infrastructura hidraulica "/>
    <s v="No"/>
    <m/>
  </r>
  <r>
    <s v="IH280"/>
    <s v="IH"/>
    <n v="280"/>
    <x v="4"/>
    <s v="COMUNIDADES DE AGUA. CANALISTAS"/>
    <s v="-"/>
    <s v="-"/>
    <s v="-"/>
    <x v="5"/>
    <s v="Regional"/>
    <s v="Se trata de una hoja de cálculo en Excel donde figuran diversas columnas, entre las que se destacan: la comunidad de agua, la comuna, el caudal otorgado, coordenadas, fecha de inscripción, y otros parámetros."/>
    <s v="Información relevante en el diagnóstico de infrastructura hidraulica como catastro"/>
    <s v="No"/>
    <m/>
  </r>
  <r>
    <s v="CC091"/>
    <s v="CC"/>
    <n v="91"/>
    <x v="3"/>
    <s v="Visión Conceptual de la Adaptación al Cambio Climático. Taller UICN, Proyecto EPIC 2013"/>
    <n v="2013"/>
    <s v="Sebastián Bonelli I."/>
    <s v="CENTRO UC. CAMBIO GLOBAL"/>
    <x v="1"/>
    <s v="Regional"/>
    <s v="Esta presentación entrega antecedentes sobre tres líneas tematicas: Cambio climático y adaptación: visión conceptual; Iniciativa de adaptación. Proyecto MAPA: Maipo Plan de Adaptación; Cambio climático, lecciones de estudio en Cuenca río Mataquito."/>
    <s v="Información relevante en el diagnóstico ambiental"/>
    <s v="No"/>
    <m/>
  </r>
  <r>
    <s v="MA010"/>
    <s v="MA"/>
    <n v="10"/>
    <x v="0"/>
    <s v="PROBLEMAS AMBIENTALES EN CHILE"/>
    <n v="1990"/>
    <s v="ERST R. HAJEK"/>
    <s v="Agencia Internacional para el desarrollo"/>
    <x v="6"/>
    <s v="Nacional"/>
    <s v="Los contenidos de este documento se originan de una investigaci6n desarrollada como Proyecto DIUC 95/87, financiado par la Dirección de Investigación de la Pontificia Universidad Católica de Chile, y cuyos objetivos fueron: a)Definir los problemas ambientales de Chile y reconocer los principales parámetros que permiten identificarlos. b)Ordenación de los problemas ambientales, por su importancia y por la posibilidad de intervenir en ellos mediante medidas de control. c)Establecer para cada uno de los problemas ambientales identificados su distribución geográfica regional y el grado de importancia relativa de los mismos, d) Construir un Atlas de la percepción de los problemas ambientales del país por región y por tipo de problemas. Se hace una descripción detallada de estos conceptos para todas las regiones del país."/>
    <s v="Información relevante en el diagnóstico ambiental"/>
    <s v="No"/>
    <m/>
  </r>
  <r>
    <s v="MA020"/>
    <s v="MA"/>
    <n v="20"/>
    <x v="1"/>
    <s v="PLAN DE MANEJO RESERVA NACIONAL LOS BELLOTOS DEL MELADO"/>
    <n v="1999"/>
    <s v="Ministerio de Agricultura"/>
    <s v="Ministerio de Agricultura"/>
    <x v="6"/>
    <s v="Regional"/>
    <s v="Este documento corresponde al Plan de Manejo que por normativa debe tener cada ASP pública. En el PM se fijan las pautas necesarias para el uso, manejo y desarrollo de la Unidad, durante un período de 10 años. En dicho plan se definen zonas de uso especial, de uso primitivo y de manejo de recursos, dentro de las cuales se desarrollarán los distintos subprogramas de apoyo administrativo, protección, obras y mantenimiento, investigación y manejo de recursos."/>
    <s v="Información relevante en el diagnóstico ambiental"/>
    <s v="No"/>
    <m/>
  </r>
  <r>
    <s v="MA030"/>
    <s v="MA"/>
    <n v="30"/>
    <x v="0"/>
    <s v="LAS AREAS SILVESTRES PROTEGIDAS PRIVADAS EN CHILE"/>
    <n v="1999"/>
    <s v="CODEFF"/>
    <s v="CODEFF"/>
    <x v="6"/>
    <s v="Nacional"/>
    <s v="Este documento entrega una revisión sobre la normativa acerca de las ASP privadas, como se estructura en Chile este modelo de protección. Además, entrega una primera aproximación sobre el listado y caracterización de las unidades de áreas privadas en el país."/>
    <s v="Información relevante en el análisis de la situación ambiental más detalladamente en el catastro y revisión de las áreas silvestres de protección."/>
    <s v="Si"/>
    <m/>
  </r>
  <r>
    <s v="MA040"/>
    <s v="MA"/>
    <n v="40"/>
    <x v="1"/>
    <s v="POLÍTICA AMBIENTAL DE LA REGIÓN DEL MAULE"/>
    <n v="2002"/>
    <s v="Gobierno de Chile"/>
    <s v="Gobierno de Chile"/>
    <x v="6"/>
    <s v="Regional"/>
    <s v="La politica de la Región del Maule tiene por objetivo hacer ambientalmente sustentable el proceso de desarrollo, velando por el derecho a vivir en un medio ambiente libre de contaminación, la protección del medio ambiente, la preservación de la naturaleza y la conservación del patrimonio ambiental. El fin último de ella es la calidad de vida de todos los chilenos y de las generaciones futuras. Para la versión final de la politica se recogieron antecedentes y opiniones de los diversos sectores ciudadanos e institucionales de la región"/>
    <s v="Información relevante en el diagnóstico ambiental"/>
    <s v="No"/>
    <m/>
  </r>
  <r>
    <s v="MA045"/>
    <s v="MA"/>
    <n v="45"/>
    <x v="1"/>
    <s v="ESTRATEGIA Y PLAN DE ACCION PARA LA BIODIVERSIDAD EN LA VII REGIÓN DEL MAULE"/>
    <n v="2002"/>
    <s v="CONAMA-CONAF-SAG-INIA-DGA-SERNAPESCA-UTAL-UCM"/>
    <s v="CONAMA"/>
    <x v="6"/>
    <s v="Regional"/>
    <s v="La Estrategia corresponde a un cuerpo estructurado de objetivos y prioridades que consideren el rol de los diversos protagonistas involucrados en la conservación y el uso sustentable de la biodiversidad, interesados en disminuir o evitar la pérdida de diversidad biológica de nuestro territorio. Su objetivo principal corresponde a &quot;conservar la biodiversidad nativa regional a través de la mantención de la sustentabilidad de los ecosistemas y sus especies&quot;."/>
    <s v="Información relevante en el análisis de la situación ambiental, concretamente en el análisis de áreas de protección o conservación existentes. Interesante para el diagnóstico ambiental como estrategia a la diversidad de la región. "/>
    <s v="Si"/>
    <m/>
  </r>
  <r>
    <s v="MA050"/>
    <s v="MA"/>
    <n v="50"/>
    <x v="2"/>
    <s v="FRAGMENTACIÓN Y DINÁMICA DE REGENERACIÓN DEL BOSQUE MAULINO: DIAGNÓSTICO ACTUAL Y PERSPECTIVAS FUTURAS"/>
    <n v="2004"/>
    <s v="-"/>
    <s v="-"/>
    <x v="6"/>
    <s v="Regional"/>
    <s v="Entendiendo a la fragmentación como un fenomeno derivado de actividades antropicas, este documento es relevante en cuanto revisa un estudio de caso sobre los efectos de la fragmentación en el bosque maulino. La importancia de revisar estos antecedentes corresponde a que se ha reconocido un alto grado de fragmentación en las áreas silvestres de la Región del Maule."/>
    <s v="Información relevante en el análisis de la situación ambiental concretamente en la identificación de presiones antrópicas y naturales sobre los recursos hídricos."/>
    <s v="Si"/>
    <m/>
  </r>
  <r>
    <s v="MA061"/>
    <s v="MA"/>
    <n v="61"/>
    <x v="0"/>
    <s v="DETERMINACIÓN DE CAUDALES ECOLÓGICOS EN CUENCAS CON FAUNA ÍCTICA NATIVA Y EN ESTADO DE CONSERVACIÓN"/>
    <n v="2008"/>
    <s v="CENTRO DE ECOLOGIA APLICADA LTDA."/>
    <s v="Dirección General de Aguas (DGA)"/>
    <x v="7"/>
    <s v="Nacional"/>
    <s v="Este dodcumento propone un modelo para determinar el caudal ecológico de un río incorporando un enfoque multiescalado y jerárquico. Se considera cuatro escalas de análisis: i) Hidroecoregiones, definida por condiciones climáticas e hidrológicas específicas; ii) Sistema, definido por el río en toda su extensión; iii) Tramo de río, definido por la presencia de Áreas con Importancia Ambiental (AIA) y iv) Sección, definido por áreas donde se realiza el control local de los requerimientos de caudal por cada AIA."/>
    <s v="Información relevante en el diagnóstico ambiental, Caudal ecologico."/>
    <s v="No"/>
    <s v="SIT 187"/>
  </r>
  <r>
    <s v="MA060"/>
    <s v="MA"/>
    <n v="60"/>
    <x v="0"/>
    <s v="ANÁLISIS DE REPRESENTATIVIDAD ECOSISTÉMICA DE LAS ÁREAS PROTEGIDAS PÚBLICAS Y PRIVADAS EN CHILE. INFORME FINAL"/>
    <n v="2008"/>
    <s v="MMA"/>
    <s v="Ministerio de Medio Ambiente"/>
    <x v="6"/>
    <s v="Nacional"/>
    <s v="Este documento identifica la representación actual del sistema de protección oficial existente y de evaluar el aporte del resto de los sistemas de protección existentes en Chile, se desarrollo un análisis de representatividad ecosistémica, utilizando para la parte terrestres a la vegetación zonal como descriptor de ecosistemas y a la parte marina una clasificación de zonas zoogeográficas."/>
    <s v="Información relevante en el análisis de la situación ambiental, concretamente en el análisis de áreas de protección o conservación existentes"/>
    <s v="Si"/>
    <m/>
  </r>
  <r>
    <s v="MA065"/>
    <s v="MA"/>
    <n v="65"/>
    <x v="0"/>
    <s v="INFORME ANUAL DE MEDIO AMBIENTE, ENDESA CHILE 2007"/>
    <n v="2008"/>
    <s v="ENDESA CHILE"/>
    <s v="ENDESA CHILE"/>
    <x v="6"/>
    <s v="Nacional"/>
    <s v="Es un informe de Medio Ambiente a nivel Nacional de ENDESA, del año 2007, particularizado a todas sus infraestructuras de generación eléctrica."/>
    <s v=" Información relevante en el diagnóstico Ambiental con las hidroelectricas."/>
    <s v="No"/>
    <m/>
  </r>
  <r>
    <s v="MA070"/>
    <s v="MA"/>
    <n v="70"/>
    <x v="0"/>
    <s v="CONTROL Y SEGUIMIENTO DEL CUMPLIMIENTO DE RESOLUCIONES DE CALIFICACIÓN AMBIENTAL, FASE I. INFORME FINAL"/>
    <n v="2009"/>
    <s v="GISMA CONSULTORES"/>
    <s v="Dirección General de Aguas (DGA)"/>
    <x v="6"/>
    <s v="Nacional"/>
    <s v="El presente estudio se enmarca dentro de los compromisos adquiridos en cada una de las RCA de proyectos donde la DGA ha tenido competencia ambiental directa, respecto de la conservación y protección de los recursos hídricos, superficiales y subterráneos, teniendo como idea central levantar y conocer toda la información generada desde el año 1997 hasta la actualidad, en las variables ambientales que dicen relación con la competencia de la DGA, siendo necesario el análisis de la información levantada para cada proyecto."/>
    <s v="Información relevante en el análisis de la situación ambiental en iniciativas específicas para la región del Maule."/>
    <s v="Si"/>
    <m/>
  </r>
  <r>
    <s v="MA075"/>
    <s v="MA"/>
    <n v="75"/>
    <x v="0"/>
    <s v="Evaluación preliminar de contingencia en Tranque de Relaves Las Palmas, Sector Pencahue, Región del Maule"/>
    <n v="2010"/>
    <s v="DICTUC (Pontificia Universidad Católica)"/>
    <s v="Ministerio de Obras Públicas. Dirección General de Aguas"/>
    <x v="6"/>
    <s v="Comuna Pencahue"/>
    <s v="Estudio técnico de los efectos del colapso del tranque de relave Las Palmas, posterior al terremoto de febrero de 2010."/>
    <s v="Antecedentes de contaminación de suelo y aguas en la zona del tranque Las Palmas."/>
    <s v="Si"/>
    <m/>
  </r>
  <r>
    <s v="MA080"/>
    <s v="MA"/>
    <n v="80"/>
    <x v="0"/>
    <s v="LA OCDE Y EL MEDIO AMBIENTE EN CHILE"/>
    <n v="2010"/>
    <s v="Universidad de Talca"/>
    <s v="OCEDE"/>
    <x v="6"/>
    <s v="Nacional"/>
    <s v="Este estudio fue realizado por la Universidad de Talca, en el cual se ha levantando información primaria sobre la percepción de los principales focos de contaminación y elementos perjudiciales para el medio natural y urbano de la región del Maule."/>
    <s v=" Información relevante en el diagnóstico Ambiental sobre la contaminción."/>
    <s v="No"/>
    <m/>
  </r>
  <r>
    <s v="MA085"/>
    <s v="MA"/>
    <n v="85"/>
    <x v="0"/>
    <s v="CONTAMINACIÓN DEL AIRE"/>
    <n v="2010"/>
    <s v="-"/>
    <s v="-"/>
    <x v="6"/>
    <s v="Nacional"/>
    <s v="Documento preparado por el Ministerio de Medio Ambiente, donde este capitulo se refiere a la contaminación del aire, primero desde una perspectiva general y luego para centrarse en las regiones del país. De esto, hace referencia sobre los impactos de la región del Maule."/>
    <s v=" Información relevante en el diagnóstico Ambiental sobre la contaminción."/>
    <s v="No"/>
    <m/>
  </r>
  <r>
    <s v="MA090"/>
    <s v="MA"/>
    <n v="90"/>
    <x v="0"/>
    <s v="DEFORESTACIÓN EN ECOSISTEMAS TEMPLADOS DE LA PRECORDILLERA ANDINA DEL CENTRO-SUR DE CHILE"/>
    <n v="2010"/>
    <s v="-"/>
    <s v="-"/>
    <x v="6"/>
    <s v="Regional"/>
    <s v="Este documento da cuenta de un análisis multitemporal para determinar los cambios en la cobertura del suelo en una zona de la precordillera andina de la Región del Maule, Chile. Para ello se utilizaron imágenes satelitales de los años 1989 y 2003, y se analizaron las causas probables de la deforestación del bosque nativo presente en estos ecosistemas."/>
    <s v="Información relevante en el análisis de la situación ambiental concretamente en la identificación de presiones antrópicas y naturales sobre los recursos hídricos. Cambios de cobertura del suelo, datos de deforestación, presión sobre recursos naturales incluidos los recursos hídricos. "/>
    <s v="Si"/>
    <m/>
  </r>
  <r>
    <s v="MA095"/>
    <s v="MA"/>
    <n v="95"/>
    <x v="0"/>
    <s v="CONTAMINACIÓN DE SUELOS"/>
    <n v="2010"/>
    <s v="-"/>
    <s v="-"/>
    <x v="6"/>
    <s v="Nacional"/>
    <s v="Documento preparado por el Ministerio de Medio Ambiente, donde este capitulo se refiere a la contaminación de los suelos, primero desde una perspectiva general y luego para centrarse en las regiones del país. De esto, hace referencia sobre los impactos de la región del Maule."/>
    <s v=" Información relevante en el diagnóstico Ambiental sobre la contaminción."/>
    <s v="No"/>
    <m/>
  </r>
  <r>
    <s v="MA096"/>
    <s v="MA"/>
    <n v="96"/>
    <x v="0"/>
    <s v="CONFLICTOS POR EL AGUA EN CHILE. ENTRE LOS DERECHOS HUMANOS Y LAS REGLAS DE MERCADO"/>
    <n v="2010"/>
    <s v="Sara Larraín y Pamela Poo - Chile Sustentable"/>
    <s v="Chile Sustentable"/>
    <x v="6"/>
    <s v="Nacional"/>
    <s v="El documento hace revisión sobre casos en los cuales proyectos han generado presión desmedida sobre los recursos naturales y con ello oposición de las organizaciones sociales locales. Para el caso del Plan Maestro destaca la revisión del proyecto de generacion hidroelectrica, denominado Centinela, el cual estará instalado en el Sitio Prioritario Alto de Achibueno."/>
    <s v=" Información relevante en el diagnóstico Ambiental con las hidroelectricas."/>
    <s v="No"/>
    <m/>
  </r>
  <r>
    <s v="MA100"/>
    <s v="MA"/>
    <n v="100"/>
    <x v="0"/>
    <s v="INFORME DEL ESTADO DEL MEDIO AMBIENTE RESUMEN EJECUTIVO"/>
    <n v="2011"/>
    <s v="MMA"/>
    <s v="Ministerio de Medio Ambiente"/>
    <x v="6"/>
    <s v="Nacional"/>
    <s v="El presente informe da respuesta al requerimiento establecido en la legislación vigente y marca un importante avance para la gestión ambiental, como también respecto a la transparencia y el acceso público a la información. "/>
    <s v="Información relevante en el análisis de la situación ambiental, pasivos ambientales."/>
    <s v="Si"/>
    <m/>
  </r>
  <r>
    <s v="MA105"/>
    <s v="MA"/>
    <n v="105"/>
    <x v="0"/>
    <s v="CRITERIOS Y METODOLOGÍA PARA LA DETERMINACIÓN DEL CAUDAL ECOLÓGICO EN EL MARCO DEL SEIA"/>
    <n v="2011"/>
    <s v="Departamento de Conservación y Protección de Recursos Hídricos"/>
    <s v="Dirección General de Aguas (DGA)"/>
    <x v="6"/>
    <s v="Nacional"/>
    <s v="Minuta DCPRH Nº 267  en la que de define lo que se entiende por caudal ecológico, se establecen las atribuciones para su determinación, desde el punto de vista sectorial y ambiental y se describen las metodologías para su determinación el el marco del SEIA"/>
    <s v="Información relevante en el diagnóstico ambiental, Caudal ecologico."/>
    <s v="No"/>
    <m/>
  </r>
  <r>
    <s v="MA110"/>
    <s v="MA"/>
    <n v="110"/>
    <x v="0"/>
    <s v="LAS ÁREAS PROTEGIDAS DE CHILE  ANTECEDENTES, INSTITUCIONALIDAD, ESTADÍSTICAS Y DESAFÍOS"/>
    <n v="2011"/>
    <s v="MMA"/>
    <s v="Ministerio de Medio Ambiente"/>
    <x v="6"/>
    <s v="Nacional"/>
    <s v="Este documento es una síntesis de la historia, institucionalidad e información sobre las áreas protegidas de Chile. Contiene información sobre todos los tipos de iniciativas de protección del patrimonio ambiental en zonas marino-costeras y terrestres, emprendidas por la administración pública y una breve descripción de su institucionalidad. El documento está organizado en 3 ejes y 12 capítulos respecto a distintos temas y componentes del medio ambiente. Cada capítulo sigue el modelo Presión-Estado-Respuesta, propuesto por la OCDE para el desarrollo de políticas ambientales e informes "/>
    <s v="Información relevante en el análisis de la situación ambiental, concretamente en el análisis de áreas de protección o conservación existentes. Contiene información de los sistemas de protección oficial existentes y evaluar el aporte del resto de los sistemas de protección en Chile, como el escenario actual áreas protegidas. "/>
    <s v="Si"/>
    <m/>
  </r>
  <r>
    <s v="MA115"/>
    <s v="MA"/>
    <n v="115"/>
    <x v="4"/>
    <s v="Atlas de Faenas Mineras"/>
    <n v="2012"/>
    <s v="Servicio Nacional de Geología y Minería"/>
    <s v="Servicio Nacional de Geología y Minería"/>
    <x v="6"/>
    <s v="Nacional"/>
    <s v="Mapas y estadísticas de Faenas Mineras, para las regiones del Maule, Biobío, Araucanía, Los Ríos, Los Lagos, Aysén y Magallanes."/>
    <s v="Listado de faenas mineras por tipo, para la región del Maule"/>
    <s v="Si"/>
    <m/>
  </r>
  <r>
    <s v="MA120"/>
    <s v="MA"/>
    <n v="120"/>
    <x v="0"/>
    <s v="Anfibios de Chile,_x000a_un desafío para la conservación"/>
    <n v="2013"/>
    <s v="LOBOS G, VIDAL M, CORREA C, LABRA A, DÍAZ - PÁEZ H, CHARRIER A, RABANAL F, DÍAZ S &amp;_x000a_TALA C."/>
    <s v="Ministerio de Medio Ambiente"/>
    <x v="6"/>
    <s v="Nacional"/>
    <s v="El libro permite adentrarse en el conocimiento de los anfibios priorizando que el lector pueda participar activamente en la conservación y protección de estas especies de Chile. A lo largo del todo el texto destaca que los anfibios son un grupo endémico altamente amenazado en el país. Entrega información sobre la biología, diversidad, valor ambiental y cultural de los anfibios, estado de conservación y amenazas, conocimiento generado en los últimos 15 años, acciones de conservación que se están desarrollando en nuestro país, así como una muestra de imágenes y texto relativo a algunas de las especies presentes en Chile."/>
    <s v="Información relevante en el diagnóstico ambiental conocimiento de los anfibios en la región."/>
    <s v="No"/>
    <s v="ISBN 978-956-7204-46-5"/>
  </r>
  <r>
    <s v="MA125"/>
    <s v="MA"/>
    <n v="125"/>
    <x v="0"/>
    <s v="INFORME ANUAL DE MEDIO AMBIENTE REGIONAL, ENDESA  2012"/>
    <n v="2013"/>
    <s v="ENDESA CHILE"/>
    <s v="ENDESA CHILE"/>
    <x v="6"/>
    <s v="Nacional"/>
    <s v="Este documento es una revisión sobre los pasivos de la empresa electrica en todas sus actividades. De esto, se menciona los pasivos medio ambientales en la regió  del maule, se caracterizan y se revisa la manera en como la empresa ha actuado en cada caso descrito. De lo anterior, se refiere a las obras que la empresa tienen en la cuenca del Maule y cuantifica la existencia de aridos."/>
    <s v=" Información relevante en el diagnóstico Ambiental con las hidroelectricas."/>
    <s v="No"/>
    <m/>
  </r>
  <r>
    <s v="MA130"/>
    <s v="MA"/>
    <n v="130"/>
    <x v="0"/>
    <s v="SUSTENTABILIDAD AMBIENTAL PARA EL DESARROLLO"/>
    <n v="2013"/>
    <s v="-"/>
    <s v="Ministerio de Agricultura"/>
    <x v="6"/>
    <s v="Nacional"/>
    <s v="El estudio se enmarca en el contexto del proyecto Visión, Logros y Desafíos del Ministerio de Agricultura, 2010-2014. Esta iniciativa fue impulsada por la misma cartera, en conjunto con FIA, y consta de seis partes: un texto inicial de introducción y síntesis, seguido de cinco documentos para cubrir cada uno de los pilares que han orientado el trabajo de la institución."/>
    <s v="Información relevante en el análisis de la situación ambiental específicamente en impactos y consecuencias ambientales. Entrega Información para el análisis de la situación del agua y otros recursos y sobre todo de la presión antrópica de la actividad agrícola sobre estos recursos."/>
    <s v="Si"/>
    <m/>
  </r>
  <r>
    <s v="MA140"/>
    <s v="MA"/>
    <n v="140"/>
    <x v="4"/>
    <s v="ESPECIES EN ESTADO DE CONSERVACION"/>
    <n v="2013"/>
    <s v="Ministerio de Medio Ambiente"/>
    <s v="Ministerio de Medio Ambiente"/>
    <x v="6"/>
    <s v="Regional"/>
    <s v="Clasificación de la flora y de la fauna silvestre permite evaluar el estado de conservación de nuestra diversidad biológica. De paso, contribuye a disminuir el riesgo de su extinción al permitir priorizar recursos y esfuerzos en aquellas especies más amenazadas. Mandatado por el artículo 37 de la ley General de Bases del Medio Ambiente (Ley 19.300), entró en operaciones el año 2005, mediante el Decreto Supremo Nº 75 de 2004 del Ministerio Secretaría General de la Presidencia, que fue remplazado en abril de 2011 por el Decreto Supremo Nº 29 de 2011 del Ministerio del Medio Ambiente, que corresponde al actual Reglamento para la Clasificación de Especies Silvestres según Estado de Conservación (RCE)."/>
    <s v=" Información relevante en el diagnóstico Ambiental catalogo de flora y fauna."/>
    <s v="No"/>
    <m/>
  </r>
  <r>
    <s v="MA150"/>
    <s v="MA"/>
    <n v="150"/>
    <x v="0"/>
    <s v="BALANCE AMBIENTAL 2014. SACRIFICANDO CHILE POR LA INVERSIÓN"/>
    <n v="2014"/>
    <s v="Fundaccion Terram"/>
    <s v="-"/>
    <x v="6"/>
    <s v="Nacional"/>
    <s v="Este documento, elaborado por Fundación Terram, entrega un exhaustivo detalle de todos los acontecimiento ambientales que marcaron el año 2014. Hace una revisión de los peores casos, entre los cuales destaca: Derrame de petróleo en la Bahía de Quintero; El Plan de Adaptación de Cambio Climático y Biodiversidad; Propuesta de reforma al Código de Aguas ingresada por el gobierno al Congreso que no incluye la problemática de los glaciares y debilita funciones del Estado; los resultados del Proyecto MAPS; que considera el impulso a la utilización de gas, represas y energía nuclear en lugar de priorizar las ERNC y la eficiencia energética; Planes de Cierre Faenas Mineras, entre otros."/>
    <s v="Información relevante en el análisis de la situación ambiental específicamente en impactos y consecuencias ambientales. "/>
    <s v="Si"/>
    <m/>
  </r>
  <r>
    <s v="MA151"/>
    <s v="MA"/>
    <n v="151"/>
    <x v="1"/>
    <s v="Plan de Recuperación, Conservación y Gestión de los Anfibios de Chile"/>
    <n v="2014"/>
    <s v="Ministerio del Medio Ambiente"/>
    <s v="Ministerio de Medio Ambiente"/>
    <x v="6"/>
    <s v="Regional"/>
    <s v="De conformidad a las clasificaciones de especies silvestres y su categoría de conservación, el Ministerio del Medio Ambiente deberá aprobar planes de recuperación, conservación y gestión para estas especies. El reglamento definirá el procedimiento de elaboración, el sistema de información pública y el contenido de cada uno de ellos.  Por su parte, el Plan se define como instrumento administrativo que contiene el conjunto de metas, objetivos y acciones que deberán ejecutarse para recuperar, conservar y manejar una o más especies que hayan sido clasificadas en el marco del Reglamento para la Clasificación de Especies Silvestres según Estado de Conservación. Destaca además que el reglamento es explícito en mencionar que planes podrán elaborarse para cada especie en particular o para un grupo de especies, cuando éstas presenten características similares en términos de su categoría de conservación, biología, amenazas o distribución, de igual modo, los planes podrán elaborarse para su aplicación sobre la totalidad del área de distribución de las especies respectivas, o para una parte de ella, según corresponda. Todo plan que tenga por objeto recursos hidrobiológicos sometidos a medidas de conservación y a los regímenes de administración de la Ley General de Pesca y Acuicultura Nº 18.892 y sus modificaciones, deberá ser compatible con el plan de manejo establecido de conformidad con dicho cuerpo legal"/>
    <s v=" Información relevante en el diagnóstico Ambiental catalogo de especies silvestres."/>
    <s v="No"/>
    <m/>
  </r>
  <r>
    <s v="MA160"/>
    <s v="MA"/>
    <n v="160"/>
    <x v="0"/>
    <s v="EVALUACIÓN AMBIENTAL ESTRATÉGICA. PLAN REGIONAL DE ORDENAMIENTO TERRITORIAL DEL MAULE"/>
    <n v="2014"/>
    <s v="Gobierno Regional Maule"/>
    <s v="Gobierno Regional Maule"/>
    <x v="6"/>
    <s v="Regional"/>
    <s v="Este informe considera los Problemas Ambientales y Criterios de Sustentabilidad de la Región del Maule, los cuales entregan el marco de sustentabilidad del plan, para luego sobre la base de éstos, generar los Objetivos Ambientales del Plan, los cuales consideran los aspectos que son normados en este instrumento y que cuentan con un enfoque ambiental. Asimismo, se analizan las alternativas de estructuración territorial (Escenarios Territoriales) que forman parte de la imagen objetivo que permite el diseño completo de la zonificación y la definición de las normas que forman parte del Plan, generando la respectiva evaluación de éstas, permitiendo analizar además, el escenario que será la base del proyecto de Plan."/>
    <s v="Información relevante en el análisis de la situación ambiental concretamente en la identificación de presiones antrópicas y naturales sobre los recursos hídricos. El documento incluye información relevante respecto a una perspectiva de ordenamiento territorial con incorporación medioambiental."/>
    <s v="Si"/>
    <m/>
  </r>
  <r>
    <s v="MA170"/>
    <s v="MA"/>
    <n v="170"/>
    <x v="0"/>
    <s v="APLICACIÓN DE LOS CRITERIOS DE LA UNIÓN INTERNACIONAL PARA LA CONSERVACIÓN DE LA NATURALEZA (IUCN) PARA LA EVALUACIÓN DE RIESGO DE LOS ECOSISTEMAS TERRESTRES DE CHILE "/>
    <n v="2015"/>
    <s v="Universidad Católica de Chile"/>
    <s v="Ministerio de Medio Ambiente"/>
    <x v="6"/>
    <s v="Nacional"/>
    <s v="Este documento presentar una primera prueba a escala nacional de la aplicación de los criterios de la metodología de evaluación del estado de conservación de los ecosistemas de la Unión Internacional para la Conservación para la Naturaleza (IUCN), en los ecosistemas terrestres de Chile, para evaluar su aplicabilidad en el país."/>
    <s v=" Información relevante en el diagnóstico Ambiental"/>
    <s v="No"/>
    <m/>
  </r>
  <r>
    <s v="MA175"/>
    <s v="MA"/>
    <n v="175"/>
    <x v="4"/>
    <s v="Catastro de Depósitos de Relave"/>
    <n v="2015"/>
    <s v="Servicio Nacional de Geología y Minería"/>
    <s v="Servicio Nacional de Geología y Minería"/>
    <x v="6"/>
    <s v="Nacional"/>
    <s v="Catastro de depósitos de relave según estado operacional, a nivel nacional"/>
    <s v="listado de depósitos de relave para la región del Maule (2), y su estado operacional"/>
    <s v="Si"/>
    <m/>
  </r>
  <r>
    <s v="MA176"/>
    <s v="MA"/>
    <n v="176"/>
    <x v="4"/>
    <s v="Catastro de Descargas de RILES, Región del Maule"/>
    <n v="2015"/>
    <s v="Superintendencia de Servicios Sanitarios"/>
    <s v="Superintendencia de Servicios Sanitarios"/>
    <x v="6"/>
    <s v="Nacional"/>
    <s v="Listado de descargas autorizadas por la SISS, bajo decretos DS 46/2002 y DS 90/2000."/>
    <s v="Se incluye listado de descargas autorizadas, código CIIU de emisores, lo que permite clasificar los tipos de descarga efectivas."/>
    <s v="Si"/>
    <m/>
  </r>
  <r>
    <s v="MA180"/>
    <s v="MA"/>
    <n v="180"/>
    <x v="0"/>
    <s v="SEGUNDO REPORTE DEL ESTADO MEDIO AMBIENTE"/>
    <n v="2015"/>
    <s v="MMA"/>
    <s v="Ministerio de Medio Ambiente"/>
    <x v="6"/>
    <s v="Nacional"/>
    <s v="El Segundo Reporte del Estado del Medio Ambiente, que constituye una de las nuevas obligaciones legales, ha sido elaborado con la colaboración de distintos servicios públicos con competencia ambiental. En esta publicación se puede rescatar las principales tendencias en el ámbito de la gestión ambiental, en la cual además se da cuenta del catastro de puntos de conflictos existentes a nivel nacional, por lo cual existe información relevante sobre la región del Maule."/>
    <s v="Información relevante en el análisis de la situación ambiental, pasivos ambientales."/>
    <s v="Si"/>
    <m/>
  </r>
  <r>
    <s v="MA185"/>
    <s v="MA"/>
    <n v="185"/>
    <x v="3"/>
    <s v="Experiencia en el Establecimiento de Caudales Ambientales en Chile"/>
    <n v="2015"/>
    <s v="Francisco Javier Riestra Miranda"/>
    <s v="Diplomado Gestión del Agua y el Ambiente, Facultad de Ciencias Agronómicas de la Universidad de Chile."/>
    <x v="7"/>
    <s v="Nacional"/>
    <s v="El exponente entrega primeramente una revisióin sobre el concepto de caudal ecologíco. Continua con una reseña histórica del tema en Chile, realizando además un analisis de la normativa actual vigente. Continua con  los aspectos relevantes en área de ciencia e investigación en Ecohidrología en Chile, terminando con la presentación de metodología Guía Caudales Ambientales para Determinar Caudales Ambientales para Centrales Hidroeléctricas en el Sistema de Evaluación de Impacto Ambiental."/>
    <s v=" Información relevante en el diagnóstico Ambiental sobre los caudales ambientales."/>
    <s v="No"/>
    <m/>
  </r>
  <r>
    <s v="MA186"/>
    <s v="MA"/>
    <n v="186"/>
    <x v="0"/>
    <s v="APLICACIÓN DE LOS CRITERIOS DE LA UNIÓN INTERNACIONAL PARA LA CONSERVACIÓN DE LA NATURALEZA (IUCN) PARA LA EVALUACIÓ DE RIESGO DE LOS ECOSISTEMAS TERRESTRES DE CHILE"/>
    <n v="2015"/>
    <s v="Patricio Pliscoff Varas"/>
    <s v="Ministerio de Medio Ambiente"/>
    <x v="6"/>
    <s v="Nacional"/>
    <s v="El texto utiliza clasificación que el autor ya realizó para los recursos naturales del país, para las cuales  se evalua el riesgo de ecosistemas de acuerdo a la metodología propuesta por la UICN."/>
    <s v="-"/>
    <s v="No"/>
    <m/>
  </r>
  <r>
    <s v="MA190"/>
    <s v="MA"/>
    <n v="190"/>
    <x v="1"/>
    <s v="CUENTA PÚBLICA 2015. GESTIÓN MEDIO AMBIENTE REGIÓN DEL MAULE"/>
    <n v="2016"/>
    <s v="MMA"/>
    <s v="Ministerio de Medio Ambiente"/>
    <x v="6"/>
    <s v="Regional"/>
    <s v="Este documento es un recuento de las acciones que los estamentos públicos desarrollarán en el país, y en especifico en la Región del Maule. Se listan los proyectos, programas, planes, etc., destinados a mejorar la gestión medio ambiental de la zona de estudio."/>
    <s v="Información relevante en el análisis de la situación ambiental concretamente en la identificación de presiones antrópicas y naturales sobre los recursos hídricos como conjunto de resultados de la gestión ambiental en el año considerado,2014. Los ámbitos son equidad ambiental, regulación ambiental, cambio climático, entre otros. "/>
    <s v="Si"/>
    <m/>
  </r>
  <r>
    <s v="MA191"/>
    <s v="MA"/>
    <n v="191"/>
    <x v="4"/>
    <s v="Catastro de Rellenos Sanitarios, Estaciones de Transferencia y Vertederos"/>
    <n v="2016"/>
    <s v="Directorio y Observatorio de Residuos de Chile"/>
    <s v="Directorio y Observatorio de Residuos de Chile "/>
    <x v="6"/>
    <s v="Nacional"/>
    <s v="Directorio de empresas responsables de adminsitración de rellenos sanitarios, estaciones de transferencia y vertederos en la región del Maule. Revisado en www.directorioresiduos.cl"/>
    <s v="se obtuvo listado de empresas que operan en la región"/>
    <s v="Si"/>
    <m/>
  </r>
  <r>
    <s v="MA200"/>
    <s v="MA"/>
    <n v="200"/>
    <x v="4"/>
    <s v="SISTEMA DE EVALUACIÓN DE IMPACTO AMBIENTAL"/>
    <n v="2016"/>
    <s v="Servicio de Evaluación Ambiental (SEA)"/>
    <s v="-"/>
    <x v="6"/>
    <s v="Regional"/>
    <s v="Corresponde a la revisión del SEIA y contiene todos los EIA que se hayan aprobado en la región del Maule,  y revisar, analizar y concluir sobre las medidas de mitigación y compensación propuestas relacionadas con los recursos hídricos."/>
    <s v="Información relevante en el análisis de la situación ambiental, más específicamente en estimación del caudal ecológico."/>
    <s v="Si"/>
    <m/>
  </r>
  <r>
    <s v="MA210"/>
    <s v="MA"/>
    <n v="210"/>
    <x v="1"/>
    <s v="Plan de Recuperación Conservación y Gestión del Ruil"/>
    <n v="2016"/>
    <s v="Ministerio del Medio Ambiente"/>
    <s v="Ministerio de Medio Ambiente"/>
    <x v="8"/>
    <s v="Regional"/>
    <s v="Este documento tiene relación con el comienzo del Plan de Recuperación, Conservación y Gestión del Ruil. Así, se especifica que el Ministerio del Medio Ambiente (MMA) informa que mediante la Resolución Exenta N° 0107 del 12 de febrero de 2016 ha dado inicio al proceso de elaboración del Plan de Recuperación, Conservación y Gestión de Ruil, árbol declarado En Peligro"/>
    <m/>
    <s v="No"/>
    <m/>
  </r>
  <r>
    <s v="MA230"/>
    <s v="MA"/>
    <n v="230"/>
    <x v="0"/>
    <s v="MEDIO AMBIENTE. INFORME ANUAL  2015"/>
    <n v="2016"/>
    <s v="INE"/>
    <s v="Ministerio de Medio Ambiente"/>
    <x v="6"/>
    <s v="Nacional"/>
    <s v="El Instituto Nacional de Estadísticas (INE), entrega  a disposición de la comunidad nacional e internacional la versión 2015 del Informe Anual de Estadísticas del Medio Ambiente. El procesamiento de los datos que se presentan, es riguroso en su presentación, validación y procesamiento, especialmente si se trata de construir series estadísticas comparables."/>
    <s v=" Información relevante en el diagnóstico Ambiental, estadistica ambiental."/>
    <s v="No"/>
    <m/>
  </r>
  <r>
    <s v="MA231"/>
    <s v="MA"/>
    <n v="231"/>
    <x v="0"/>
    <s v="Reglamento de Caudal Ecológico Mínimo"/>
    <m/>
    <s v="ENDESA CHILE"/>
    <s v="ENDESA CHILE"/>
    <x v="6"/>
    <s v="Nacional"/>
    <s v="El Reglamento de Caudal Ecológico Mínimo fue elaborado en conjunto por el Ministerio de Obras Públicas y del Medio Ambiente, el cual tuvo como objetivo principal asegurar la biodiversidad. Se espera que el Reglamento entregue el marco que permita asegurar la preservación de la naturaleza y proteger el medio ambiente, a través de fijar una serie de criterios para el establecimiento del Caudal Ecológico Mínimo. Este documento menciona que el caudal ecológico no podrá ser superior a un 20% del caudal medio anual de la respectiva fuente superficial y en casos calificados el Presidente de la República, previo informe del Ministerio del Medio Ambiente, podrá fijar caudales diferentes a un 20%, no pudiendo superar un 40%."/>
    <s v="-"/>
    <m/>
    <m/>
  </r>
  <r>
    <s v="MA232"/>
    <s v="MA"/>
    <n v="232"/>
    <x v="0"/>
    <s v="Reforma Constitucional al Código de Aguas"/>
    <m/>
    <s v="Ministerio de Obras publicas"/>
    <s v="Ministerio de Obras Publicas"/>
    <x v="6"/>
    <s v="Nacional"/>
    <s v="El Gobierno ha presentado una reforma al Código de Aguas vigente. Éste se encuentra, actualmente, en discusión en la Comisión de Recursos Hídricos y Desertificación de la Cámara de Diputados de Chile. Entre otros objetivos, lo que se persigue es modificar el concepto de derechos de aprovechamiento de aguas, limitar su uso, darles un carácter temporal a los derechos a particulares, limitar algunos derechos en situaciones especiales, como por ejemplo, temporadas de sequía, establecer causales de caducidad, facilitar la intervención de las cuencas por el Estado y reformar el sistema de pago de patente por no uso"/>
    <s v="-"/>
    <m/>
    <m/>
  </r>
  <r>
    <s v="MA233"/>
    <s v="MA"/>
    <n v="233"/>
    <x v="0"/>
    <s v="Introducción al Cálculo de Caudales Ecológicos Endesa Chile, Un análisis de las tendencias actuales"/>
    <m/>
    <s v="Ministerio de Medio Ambiente"/>
    <s v="Ministerio de Medio Ambiente"/>
    <x v="6"/>
    <s v="Nacional"/>
    <s v="analiza las observaciones efectuadas por la Autoridad a las propuestas de caudal ecológico de cuatro proyectos hidroeléctricos de Chile (tres aprobados y uno en proceso). Los resultados indican lo siguiente: a) Las “megacentrales” reciben menos observaciones a sus estimaciones de caudal ecológico (Qeco) que las centrales medianas o pequeñas. Es probable que mientras menos agua disponible tenga el titular, éste trate de optimizarla, estableciendo menos Qeco en virtud de turbinar mayor volumen de agua; b) Existe una relación inversa entre el caudal que el Titular destine a Qeco, con la cantidad de observaciones que emite la Autoridad al respecto, lo que –finalmente- repercute en la duración del proceso de evaluación ambiental; c) El análisis de 160 observaciones efectuadas por la Autoridad a los estudios de Qeco de los cuatro proyectos estudiados, indica que corresponden básicamente a trece tipos. De ellas, siete presentan una frecuencia mayor a 5%, además, requieren tiempo y recursos para ser aclaradas. Otras seis, presentan frecuencia menor a 5% y requieren pocos recursos y tiempo. El porcentaje en el cual se presentan estas observaciones tipo (“difíciles” o “fáciles”), aumenta o disminuye según el modelo empleado por el Titular para definir Qeco; y d) La Autoridad es más afín a la propuesta del titular, cuando los métodos para definir Qeco se basan en las sugerencias de la DGA"/>
    <s v="-"/>
    <m/>
    <m/>
  </r>
  <r>
    <s v="MA235"/>
    <s v="MA"/>
    <n v="235"/>
    <x v="4"/>
    <s v="Sistema Nacional de Información de Fiscalización Ambiental"/>
    <m/>
    <s v="Ministerio de Medio Ambiente"/>
    <s v="Ministerio de Medio Ambiente"/>
    <x v="6"/>
    <s v="Nacional"/>
    <s v="-"/>
    <s v="-"/>
    <m/>
    <m/>
  </r>
  <r>
    <s v="MA240"/>
    <s v="MA"/>
    <n v="240"/>
    <x v="4"/>
    <s v="AREAS RESTRINGIDAS MAULE"/>
    <m/>
    <s v="-"/>
    <s v="-"/>
    <x v="6"/>
    <s v="Regional"/>
    <s v="Antecedentes obtenidos desde la Dirección General de Aguas, relativos a información sobre las áreas de restricción existentes en la Región del Maule. Estos corresponden a los acuíferos Teno Lontue y Belco Arenal."/>
    <s v="-"/>
    <s v="No"/>
    <m/>
  </r>
  <r>
    <s v="RH005"/>
    <s v="RH"/>
    <n v="5"/>
    <x v="0"/>
    <s v="EXPERIENCIAS EN CAPTACION y UTILlZACION DE AGUA EN EL SECANO DE LA VII REGlON, PROVINCIA DE CAUQUENES."/>
    <n v="1996"/>
    <s v="Néstor Cabas Monje"/>
    <s v="Comisión Nacional de Riego (CNR)"/>
    <x v="7"/>
    <s v="Provincial"/>
    <s v="El objetivo de este Estudio es presentar los trabajos realizados en el secano, sobre las alternativas de utilización de agua realizados durante dos años, temporadas 93-94 y 94-95, orientadas a superficies no superior a 0,60 hectárea en el secano interior y no superior a una hectárea en el secano costero, considerando la utilización de vertientes cuyo caudal no escurre de la zona de origen, conocidos como &quot;charcos de agua&quot;. "/>
    <s v="  Información relevante en el diagnóstico de oferta y demanda relativo a los acuiferos."/>
    <s v="No"/>
    <m/>
  </r>
  <r>
    <s v="RH010"/>
    <s v="RH"/>
    <n v="10"/>
    <x v="0"/>
    <s v="ÁNALISIS DE LA OFERTA Y DEMANDA DE RECURSOS HÍDRICOS EN CUENCAS CRITICAS DE LOA, RAPEL Y MATAQUITO. VOLUMEN III"/>
    <n v="1996"/>
    <s v="FIGUEIREDO FERRAZ Consultoría e Ingeniería de Proyecto Ltda"/>
    <s v="Dirección General de Aguas (DGA)"/>
    <x v="7"/>
    <s v="Cuenca Mataquito"/>
    <s v="El documento recoge el levantamiento de información hidrogeológica para luego poder establecer un modelo conceptual de la cuenca y establecer una red de estaciones de monitoreo que permita recopilar información en el tiempo para poder realizar el balance subterráneo de la misma. La elaboración de esta red básica de monitoreo forma parte de las labores a ser ejecutadas en la siguiente etapa del estudio. _x000a_Incluye las siguientes actividades: _x000a_• Recopilación y Análisis de Antecedentes._x000a_• Caracterización Hidrogeológica, la cual se compone de trabajos de terreno, caracterización geológica y geomorfológica, caracterización de los acuíferos, definición de parámetros elásticos._x000a_• Desarrollo del modelo conceptual para la cuenca._x000a_• Proposición de una red básica de monitoreo."/>
    <s v="Informe de referencia para el análisis de oferta y demanda hídrica en la cuenca de Mataquito. Dispone de datos de caudales medios mensuales. "/>
    <s v="Si"/>
    <s v="SIT31"/>
  </r>
  <r>
    <s v="RH015"/>
    <s v="RH"/>
    <n v="15"/>
    <x v="0"/>
    <s v="EXPLORACIÓN DE LOS RECURSOS HÍDRICOS SUBTERRÁNEOS. VII REGIÓN. INFORME FINAL"/>
    <n v="1999"/>
    <s v="Ayala, Cabrera y Asociados Ltda."/>
    <s v="Dirección General de Aguas (DGA)"/>
    <x v="7"/>
    <s v="Regional"/>
    <s v="Memoria, Anexos, Resumen Ejecutivo. Incluye E.Hidrológico e Hidrogeológico. Demandas de agua. Balance hídrico del total de los recursos hidricos, incluyendo los subterráneos, por cuencas y subcuencas. Modelo de simulación del sistema del río Cauquenes. Inventario y medidas del NP en 290 puntos de agua subterránea. Parámetros elásticos en 8 puntos. Datos de calidad del agua en 37 pozos de la Región. Estudio geofísico en el río Cauquenes (perfiles geofísicos). "/>
    <s v="Interés para cuencas de los ríos Maule, Mataquito y Cauquenes, aunque con datos del 1999. Interes para conocer la geometría en profundidad del valle del río Cauquenes (perfiles geofísicos). Interés para conocer datos de 290 puntos de agua inventariados. (No se dispone del shp de las 290 captaciones) Considera 3 sectores acuíferos en la río Maule"/>
    <s v="Si"/>
    <m/>
  </r>
  <r>
    <s v="RH020"/>
    <s v="RH"/>
    <n v="20"/>
    <x v="0"/>
    <s v="DIAGNÓSTICO DE RECURSOS HÍDRICOS EN SECANO INTERIOR Y COSTERO VI A VIII REGIÓN. INFORME FINAL"/>
    <n v="2003"/>
    <s v="Ayala, Cabrera y Asociados Ltda."/>
    <s v="Comisión Nacional de Riego (CNR)"/>
    <x v="7"/>
    <s v="Regional"/>
    <s v="El documento corresponde al Informe Final del Estudio, el cual incluye los siguientes trabajos:_x000a_- Recopilación y sistematización de toda la información disponible tanto de los recursos básicos como de las características socioeconómicas de los agricultores de las zonas de secano incluidas en el área de estudio, mediante la homogeneización y análisis crítico de estudios y proyectos existentes y en ejecución._x000a_- Compilación de información actualizada sobre los recursos básicos en las cuencas que forman el área de estudio, tales como agua. clima, suelo y caracterizar los estratos y actores que manejan estos recursos._x000a_- Digitalización de información y mapas  para toda el área del secano considerada en el estudio._x000a_- Identificación y desarrollo de proyectos piloto. que puedan postular a los beneficios de la Ley N°18.450, de Fomento a la Inversión Privada en Obras de Riego y Drenaje."/>
    <s v="Análisis de la oferta hídrica en la región y calidad de agua superficial y subterránea. Caracterización fisicoquímica con parámetros según el uso agrícola y Potable. "/>
    <s v="Si"/>
    <m/>
  </r>
  <r>
    <s v="RH030"/>
    <s v="RH"/>
    <n v="30"/>
    <x v="1"/>
    <s v="BASES PLAN DIRECTOR PARA LA GESTIÓN DE LOS RECURSOS HÍDRICOS EN LA CUENCA DEL RÍO MAULE, DIAGNÓSTICO. RESUMEN EJECUTIVO"/>
    <n v="2003"/>
    <s v="Ayala, Cabrera y Asociados Ltda."/>
    <s v="-"/>
    <x v="7"/>
    <s v="Cuenca Maule"/>
    <s v="En este trabajo se sistematiza la información existente sobre los recursos hídricos, y complementa el diagnóstico de la cuenca del Maule contenido en los estudios existentes, en relación con temas hídricos, ambientales, económicos, de infraestructura, institucionales y legales."/>
    <s v="Informe de interés para el análisis de oferta hídrica de la cuenca del Maule. Contiene información relevante para la demanda hídrica para varios sectores tales como hidroeléctrico, industrial, entre otros"/>
    <s v="Si"/>
    <s v="SIT90"/>
  </r>
  <r>
    <s v="RH040"/>
    <s v="RH"/>
    <n v="40"/>
    <x v="0"/>
    <s v="ASESORÍA PARA EL COMPLEMENTO Y ACTUALIZACIÓN  DE LA MODELACIÓN HIDROLÓGICA  DE LA CUENCA DEL RÍO MAULE "/>
    <n v="2004"/>
    <s v="RODHOS ASESORIAS Y PROYECTOS LTDA"/>
    <s v="Dirección General de Aguas (DGA)"/>
    <x v="7"/>
    <s v="Cuenca Maule"/>
    <s v="Este documento complementa los trabajos iniciados en la DGA en cuanto a elaboración de información necesaria para representar la cuenca del Río Maule, a efectos de de su modelación con el programa MAGIC. Aquellos trabajos permitieron definir preliminannente la topología de cauces y se delimitar las cuencas de cabecera e intermedias. La topología definida incluía, además de los cauces, la ubicación de los embalses, bocatomas de canales y aducciones correspondientes a la generación de  energía hidroeléctrica. En el presente Estudio se detallan  las matrices de datos de entrada que permiten representar los sistemas de  riego. La definición de los sistemas de riego requirió hacer una revisión y una adecuación de la malla de nodos. "/>
    <s v="  Información relevante en el diagnóstico oferta y demanda hidrica ademas de catastro de bocatomas y canales."/>
    <s v="No"/>
    <s v="SIT103"/>
  </r>
  <r>
    <s v="RH050"/>
    <s v="RH"/>
    <n v="50"/>
    <x v="0"/>
    <s v="EVALUACIÓN DE LOS RECURSOS HÍDRICOS SUPERFICIALES DE LA CUENCA DEL RIO MAULE"/>
    <n v="2005"/>
    <s v="Direccion Regional de Maule Departamento administracion de RH"/>
    <s v="Dirección General de Aguas (DGA)"/>
    <x v="7"/>
    <s v="Cuenca Maule"/>
    <s v="El presente estudio se enmarca dentro de los compromisos adquiridos en cada una de las RCA de proyectos donde la DGA ha tenido competencia ambiental directa, respecto de la conservación y protección de los recursos hídricos, superficiales y subterráneos, teniendo como idea central levantar y conocer toda la información generada desde el año 1997 hasta la actualidad, en las variables ambientales que dicen relación con la competencia de la DGA, siendo necesario el análisis de la información levantada para cada proyecto."/>
    <s v="Información relevante para el análisis del balance hídrico , oferta hídrica superficial y cálculo de caudal ecológico."/>
    <s v="Si"/>
    <s v="SIT197"/>
  </r>
  <r>
    <s v="RH060"/>
    <s v="RH"/>
    <n v="60"/>
    <x v="0"/>
    <s v="ESTUDIO E IMPLEMENTACIÓN DE MODELOS HIDROLÓGICOS ACOPLADOS A SIG PARA EL MANEJO Y PLANIFICACIÓN, CUENCAS DE MAULE, MATAQUITO E ITATA"/>
    <n v="2006"/>
    <s v="GCF Ingenieros consultores"/>
    <s v="Comisión Nacional de Riego (CNR)"/>
    <x v="7"/>
    <s v="Cuenca Maule"/>
    <s v="Este estudio fue realizado por la Universidad de Talca, en el cual se ha levantando información primaria sobre la percepción de los principales focos de contaminación y elementos perjudiciales para el medio natural y urbano de la región del Maule."/>
    <s v="Informe para el análisis de Insumos para la Gestión Hídrica y Herramientas de Análisis, como modelo  hidrológico acoplado en SIG  en el ámbito de las cuencas de Maule y Mataquito ._x000a_Incluye información para el análisis de oferta hídrica en la cuenca del Maule. Además contiene información relevante para la demanda en diferentes usos y catastro de derechos de agua. Además de información relevante en el balance hídrico_x000a_"/>
    <s v="Si"/>
    <m/>
  </r>
  <r>
    <s v="RH070"/>
    <s v="RH"/>
    <n v="70"/>
    <x v="0"/>
    <s v=" ESTIMACIONES DE DEMANDA DE AGUA Y PROYECCIONES FUTURAS. REGIONES V A XII Y REGIÓN METROPOLITANA. INFORME FINAL"/>
    <n v="2007"/>
    <s v="Ayala, Cabrera y Asociados Ltda."/>
    <s v="Dirección General de Aguas (DGA)"/>
    <x v="7"/>
    <s v="Regional"/>
    <s v="El principal objetivo del Estudio es disponer de información actualizada de la situación actual y futura de las demandas de los recursos hídricos, para diferentes usos, a nivel regional, de cuencas y subcuencas. En particular, contempla la estimación de las demandas futuras para horizontes de 10 y 25 años, identificando zonas críticas, ya sea por escasez del recurso o por uso intensivo del mismo y, finalmente, plantea las recomendaciones que permitan oportunamente reducir o eliminar los efectos que podrían_x000a_imponer al desarrollo económico y social las restricciones sobre la disponibilidad del recurso en el área de influencia de este trabajo."/>
    <s v="Se obtiene información relevante a la demanda hídrica de la región completa e incorpora información de oferta. "/>
    <s v="Si"/>
    <s v="SIT123"/>
  </r>
  <r>
    <s v="RH080"/>
    <s v="RH"/>
    <n v="80"/>
    <x v="1"/>
    <s v="PLAN DIRECTOR PARA LA GESTIÓN DE LOS RECURSOS HÍDRICOS CUENCA DEL RÍO MAULE FASE II ACTUALIZACIÓN DEL MODELO DE OPERACIÓN DEL SISTEMA Y FORMULACIÓN DEL PLAN"/>
    <n v="2008"/>
    <s v="LUIS ARRAU DEL CANTO"/>
    <s v="Dirección General de Aguas (DGA)"/>
    <x v="7"/>
    <s v="Cuenca Maule"/>
    <s v="Los objetivos específicos del Plan son los siguientes:_x000a_• Disponer del Modelo MAGIC-Maule Actualizado y Calibrado, como una herramienta de análisis que permita representar la situación actual, y para la posterior evaluación de los escenarios futuros _x000a_• Actualizar el Diagnóstico de la Cuenca elaborado en el estudio “Bases para la Elaboración del Plan Director Cuenca Río Maule” desarrollado para la DGA  por AC Ingenieros Consultores (2003)._x000a_• Efectuar un Ordenamiento y una Sistematización de la Información entregada por el diagnóstico actualizado, y obtener así las necesidades del territorio en el ámbito del agua._x000a_• Establecer Objetivos Prioritarios para la Cuenca en el ámbito del agua y los recursos naturales_x000a_• Analizar las Intervenciones del MOP propuestas para ser iniciadas en los siguientes 10 años_x000a_• Analizar las Intervenciones de otros Entes Fiscales_x000a_• Confección de la Matriz de Intervenciones/Objetivos Prioritarios en base a la cartera de proyectos actualizada_x000a_• Formular un Plan de Acciones en la Cuenca_x000a_• Realizar la Evaluación Económica del Plan,en un plan de acción de corto (5 años), mediano (10 años), y largo plazo (20 años)_x000a_• Proponer las Formas de Coordinación entre Instituciones Públicas y/o Privadas_x000a_• Validar el Plan Director Propuesto, basado en la interacción con los usuarios del agua_x000a_• Proponer los Mecanismos para la Implementación del Plan Director propuesto"/>
    <s v="Informe de interés para el análisis de oferta hídrica superficial y subterránea, demanda según usos, información hidrogeológica de la Cuenca del Río Maule. Utilización y calibración del modelo MAGIC, con los parámetros del modelo de aguas subterráneas MODFLOW. Contiene una zonificación nueva de acuíferos para ser usada en el modelo MAGIC-Maule. _x000a_ Es utilizado a demás como antecedente para obtener información sobre cantidad y calidad  de la infraestructura de riego, pozos de monitore , entro otra infomracion de interes._x000a_"/>
    <s v="Si"/>
    <s v="SIT194"/>
  </r>
  <r>
    <s v="RH090"/>
    <s v="RH"/>
    <n v="90"/>
    <x v="0"/>
    <s v="DIAGNÓSTICO DE CAUDALES DISPONIBLES EN CUENCAS NO CONTROLADAS DE RECUPERACIÓN CUENCAS DE MAULE, MATAQUITO Y RAPEL. RESUMEN EJECUTIVO"/>
    <n v="2008"/>
    <s v="GCF Ingenieros consultores"/>
    <s v="Comisión Nacional de Riego (CNR)"/>
    <x v="7"/>
    <s v="Cuenca Maule"/>
    <s v="El objetivo principal de este estudio fue cuantificar los caudales en las zonas de recuperación como fuentes de recursos hídricos para el subsector riego, para las cuencas, tanto controladas como no controladas, de Maule, Mataquito y Rapel, usando SIG MAGIC (CNR - DGA - 2006)."/>
    <s v="  Información relevante en el diagnóstico oferta y demanda hidrica; utilizacion de MAGIC."/>
    <s v="No"/>
    <m/>
  </r>
  <r>
    <s v="RH100"/>
    <s v="RH"/>
    <n v="100"/>
    <x v="0"/>
    <s v="LEVANTAMIENTO DE INFORMACION HIDROGEOLOGICA PARA MODELAR CUENCA DEL RIO MAULE. ETAPA II"/>
    <n v="2010"/>
    <s v="GCF Ingenieros consultores"/>
    <s v="Dirección General de Aguas (DGA)"/>
    <x v="7"/>
    <s v="Cuenca Maule"/>
    <s v="El estudio tiene como objetivo conocer el balance hídrico general, que permita a la DGA avanzar en el otorgamiento de derechos de aprovechamiento de aguas subterráneas. Adicionalmente, se propone un sistema de monitoreo de niveles de agua subterránea, conducente a evaluar la sustentabilidad de los acuíferos a futuro, ya que sólo se controlan 3 pozos en toda la cuenca y corresponde a puntos de control de la calidad del agua._x000a_Los trabajos incluyen: _x000a_• Recopilación y Análisis de Antecedentes._x000a_• Caracterización Hidrogeológica, la cual se compone de trabajos de terreno, caracterización geológica y geomorfológica, caracterización de los acuíferos, definición de parámetros elásticos._x000a_• Desarrollo del modelo conceptual para la cuenca._x000a_• Proposición de una red básica de monitoreo"/>
    <s v="Informe relevante en el análisis de recursos subterráneos y en insumos para la gestión hídrica y herramienta de análisis."/>
    <s v="Si"/>
    <s v="SIT222"/>
  </r>
  <r>
    <s v="RH110"/>
    <s v="RH"/>
    <n v="110"/>
    <x v="1"/>
    <s v="PLAN REGIONAL DE INFRAESTRUCTURA Y GESTIÓN DEL RECURSO HÍDRICO AL 2021 REGIÓN DEL MAULE"/>
    <n v="2012"/>
    <s v="Dirección Regional de Planeamiento"/>
    <s v="Ministerio de Obras Públicas"/>
    <x v="7"/>
    <s v="Regional"/>
    <s v="El Plan define los  objetivos y metas para la Región del Maule al año 2021, construidas a partir de un análisis del territorio, de la infraestructura en los ámbitos urbano y rural, y de la disponibilidad de los recursos hídricos en la región; de esta manera se definen brechas que han sido la base para la identificación de la cartera de inversiones proyectada_x000a_al 2021."/>
    <s v="Revisar_x000a_Análisis de la red hidrométrica, oferta hídrica, y planeación territorial y turismo._x000a_Se obtiene un análisis territorial sobre la base de aspectos  y componentes en la región de deferentes ámbitos._x000a_"/>
    <s v="Si"/>
    <m/>
  </r>
  <r>
    <s v="RH120"/>
    <s v="RH"/>
    <n v="120"/>
    <x v="1"/>
    <s v="POLÍTICA NACIONAL PARA LOS RECURSOS HÍDRICOS 2015"/>
    <n v="2012"/>
    <s v="Ministerio de obras publicas"/>
    <s v="Ministerio de Obras Públicas"/>
    <x v="7"/>
    <s v="Nacional"/>
    <s v="El documento recoge propuestas y varias iniciativas sobre el cuidado de las fuentes del agua, recargas de acuíferos, reutilización del recurso, proyectos de utilización y captación de aguas no aprovechadas, mejoramiento de los sistemas de medición y control de los acuíferos, nuevas tecnologías de telemetría para monitorear pozos y flujos de aguas, mecanización de los sistemas de compuertas de los canales de riego, utilización de estos canales como fuentes de recargas de acuíferos durante los meses de invierno y recuperación de infraestructura no utilizada."/>
    <s v="Información relevante para el análisis de planificación territorial como política orientadora en la planificación hídrica con propuestas e iniciativas. "/>
    <s v="Si"/>
    <m/>
  </r>
  <r>
    <s v="RH130"/>
    <s v="RH"/>
    <n v="130"/>
    <x v="0"/>
    <s v="ESTUDIO HIDROGEOLÓGICO CUENCA DEL RÍO MATAQUITO.INFORME FINAL"/>
    <n v="2012"/>
    <s v="AQUATERRA INGENIEROS LTDA"/>
    <s v="Dirección General de Aguas (DGA)"/>
    <x v="7"/>
    <s v="Cuenca Mataquito"/>
    <s v="Los trabajos inlcuidos en este estudio incluyen:_x000a_- Generación de  la geometría basal del acuífero principal (Geofísica)_x000a_- Revisión y actualización de catastros de la demanda agrícola, sanitaria e Industrial._x000a_- Definición  y caracterización de unidades acuíferas principales_x000a_- Realización de catastro de pozos y niveles._x000a_- Representación y estimación de los flujos de agua subterránea._x000a_- Identificación de las zonas de recarga y descarga._x000a_- Obtención de parámetros hidrogeológicos del acuífero._x000a_- Representación territorial de los resultados del estudio en un SIG._x000a_- Definición de un modelo conceptual del acuífero._x000a_- Implementación de un modelo numérico de flujo preliminar de aguas subterráneas en Visual MODFLOW."/>
    <s v="Contenido relevante para la formulación de capítulo de análisis de insumos de gestión hídrica y herramientas de análisis como modelos numéricos en la cuenca del Mataquito._x000a_Además incorpora información a el análisis de los recursos hídricos subterráneos en la cuenca del Mataquito. Información hidrogeológica de esta cuenca._x000a_"/>
    <s v="Si"/>
    <s v="SIT 296"/>
  </r>
  <r>
    <s v="RH135"/>
    <s v="RH"/>
    <n v="135"/>
    <x v="3"/>
    <s v="DGA. REGIÓN DEL MAULE Y SUS DESAFÍOS EN LA GESTIÓN DEL RECURSO HÍDRICO"/>
    <n v="2013"/>
    <s v="Francisco José Canessa Díaz"/>
    <s v="Dirección General de Aguas. Región del Maule"/>
    <x v="7"/>
    <s v="Regional"/>
    <s v="Tras presentar a la DGA como el organismo público encargado de la gestión del agua como recurso, indicando sus principales atribuciones y tareas, realiza una breve descripción de las cuencas hidroográficas incluidas en la Región y de las Áreas involucradas en la gestión a nivel regional Finalmente, parece señalar los desafíos más importantes en dicha gestión, aunque en esta Presentación no quedan explicitados."/>
    <s v=" Información relevante en el diagnóstico oferta y demanda hidrica ."/>
    <s v="No"/>
    <m/>
  </r>
  <r>
    <s v="RH140"/>
    <s v="RH"/>
    <n v="140"/>
    <x v="5"/>
    <s v="ANÁLISIS DE LA OFERTA Y DEMANDA DEL SERVICIO ECOSISTÉMICO PROVISIÓN DE AGUA EN CUENCA DE PURAPEL EN NIRIVILO, REGIÓN DEL MAULE, CENTRO-SUR DE CHILE"/>
    <n v="2014"/>
    <s v="Daniela Paz Rodrieguez"/>
    <s v="Universidad Austral de Chile"/>
    <x v="7"/>
    <s v="Regional"/>
    <s v="El objetivo general de este trabajo es describir la situación actual de la cuenca Purapel en Nirivilo en cuanto a demanda, oferta y valoración del servicio ecosistémico (SE) provisión de agua. Con el fin de establecer la demanda de agua de la cuenca, se solicitó a la Dirección General de Aguas datos de derechos de agua otorgados. Utilizando el área de la cuenca, se implementó la ecuación propuesta por Little et al. (2009) para obtener la oferta. Finalmente, entrevistas a la población y cuestionarios a actores claves fueron aplicados para establecer la valoración social del SE “provisión de agua”. Para comparar y discutir resultados se utilizaron dos subcuencas de estudio: Agua Fría y Nirivilo. Estas mostraron un balance negativo en cuanto a oferta/demanda de agua, mientras la cuenca de Purapel mostró uno positivo. La población en general le entrega una alta valoración al SE “provisión de agua”, mostrando interés en conservar el recurso."/>
    <s v="Información relevante para el balance hídrico en la cuenca del río Maule y análisis hidrogeológico de la misma._x000a_Entrega información clave de valoración de servicios ecosistémicos para generar futuros planes de conservación de los mismos."/>
    <s v="Si"/>
    <m/>
  </r>
  <r>
    <s v="RH150"/>
    <s v="RH"/>
    <n v="150"/>
    <x v="0"/>
    <s v="EVALUACIÓN DE LOS RECURSOS HÍDRICOS SUBTERRÁNEOS. SECTORES ACUÍFEROS MAULE MEDIO NORTE Y MAULE MEDIO SUR"/>
    <n v="2014"/>
    <s v="-"/>
    <s v="Dirección General de Aguas (DGA)"/>
    <x v="7"/>
    <s v="Regional"/>
    <s v="El estudio tiene por objetivo evaluar los recursos hídricos subterráneos de los sectores hidrogeológicos de aprovechamiento común definidos como Maule Medio Norte y Medio Maule Sur, conservando los valores de recarga utilizados en el estudio SDT Nº 139  de 2011. Se estima la disponibilidad de volumen total anual factible de otorgar como derechos de aprovechamiento de agua subterránea."/>
    <s v="Información relevante para el análisis de eventos en el Rio Teno como los caudales máximos en la estación de estudio."/>
    <s v="Si"/>
    <s v="SDT 362"/>
  </r>
  <r>
    <s v="RH160"/>
    <s v="RH"/>
    <n v="160"/>
    <x v="1"/>
    <s v="BASE PARA PLANIFICACIÓN TERRITORIAL EN EL DESARROLLO HIDROELÉCTRICO FUTURO"/>
    <n v="2015"/>
    <s v="Universidad Católica/TECO Group/Ministerio de Energia"/>
    <s v="Ministerio de Energia"/>
    <x v="7"/>
    <s v="Nacional"/>
    <s v="Recoge el potencial hidroeléctrico y los elementos y actividades valiosas para las comunidades en sus territorios, generando una base de información relevante para sostener un diálogo más transparente sobre hidroelectricidad en las principales cuencas del país. Este estudio identificad 39 Objetos de Valoración de índole ecosistémica, social, cultural y productiva que pueden verse afectados por la implementación de un proyecto hidroeléctrico, y señala aquellas cuencas donde estos Objetos conviven con un potencial hidroeléctrico aún no desarrollado."/>
    <s v=" Información relevante en el diagnóstico oferta y demanda hidrica respecto a las hidroelecticas."/>
    <s v="No"/>
    <m/>
  </r>
  <r>
    <s v="RH170"/>
    <s v="RH"/>
    <n v="170"/>
    <x v="0"/>
    <s v="INFORMACIÓN HÍDRICA DE LAS CUENCAS PRIORIZADAS. FICHAS TEMÁTICAS. CUENCA DEL MAULE"/>
    <n v="2015"/>
    <s v="Dirección General de Aguas"/>
    <s v="Dirección General de Aguas"/>
    <x v="7"/>
    <s v="Cuenca Maule"/>
    <s v="Ficha resumen de la cuenca, con información general hidrológica, hidrogeológica, hidrométrica, sanitaria, ambiental, administratica y de organizaciones de usuarios"/>
    <s v="Información relevante para el análisis de oferta y demanda hídrica."/>
    <s v="Si"/>
    <m/>
  </r>
  <r>
    <s v="SAP010"/>
    <s v="SAP"/>
    <n v="10"/>
    <x v="0"/>
    <s v="DIAGNOSTICO DEL RIEGO, Y DRENAJE EN LA VII REGIÓN"/>
    <n v="2003"/>
    <s v="Ayala, Cabrera y Asociados Ltda."/>
    <s v="Comisión Nacional de Riego (CNR)"/>
    <x v="8"/>
    <s v="Regional"/>
    <s v="Entendiendo a la fragmentación como un fenomeno derivado de actividades antropicas, este documento es relevante en cuanto revisa un estudio de caso sobre los efectos de la fragmentación en el bosque maulino. La importancia de revisar estos antecedentes corresponde a que se ha reconocido un alto grado de fragmentación en las áreas silvestres de la Región del Maule."/>
    <s v=" Información relevante en el diagnóstico oferta y demanda silvoagropecuaria respecto a las actividades antropicas."/>
    <s v="No"/>
    <m/>
  </r>
  <r>
    <s v="SAP020"/>
    <s v="SAP"/>
    <n v="20"/>
    <x v="4"/>
    <s v="CENSO AGROPECUARIO FORESTAL_VII"/>
    <n v="2007"/>
    <s v="ODEPA"/>
    <s v="ODEPA"/>
    <x v="8"/>
    <s v="Regional"/>
    <s v="Documento preparado por el Ministerio de Medio Ambiente, donde este capitulo se refiere a la contaminación del aire, primero desde una perspectiva general y luego para centrarse en las regiones del país. De esto, hace referencia sobre los impactos de la región del Maule."/>
    <s v="  Información relevante en el diagnóstico de la contaminacion par el apartado de medio ambiente"/>
    <s v="No"/>
    <m/>
  </r>
  <r>
    <s v="SAP030"/>
    <s v="SAP"/>
    <n v="30"/>
    <x v="2"/>
    <s v="ANÁLISIS DEL DÉFICIT HÍDRICO EN LA AGRICULTURA, CHILE"/>
    <n v="2011"/>
    <s v="Erik Muñoz Henriquez"/>
    <s v="Revista Interamericana de Ambiente y Turismo"/>
    <x v="8"/>
    <s v="Nacional"/>
    <s v="Este documento es una síntesis de la historia, institucionalidad e información sobre las áreas protegidas de Chile. Contiene información sobre todos los tipos de iniciativas de protección del patrimonio ambiental en zonas marino-costeras y terrestres, emprendidas por la administración pública y una breve descripción de su institucionalidad. El documento está organizado en 3 ejes y 12 capítulos respecto a distintos temas y componentes del medio ambiente. Cada capítulo sigue el modelo Presión-Estado-Respuesta, propuesto por la OCDE para el desarrollo de políticas ambientales e informes "/>
    <s v="  Información relevante en el diagnóstico de la contaminacion par el apartado de medio ambiente"/>
    <s v="No"/>
    <m/>
  </r>
  <r>
    <s v="SAP040"/>
    <s v="SAP"/>
    <n v="40"/>
    <x v="1"/>
    <s v="PROGRAMA DE DESARROLLO DEL RIEGO EN TUTUVÉN ETAPA DE EJECUCIÓN"/>
    <n v="2011"/>
    <s v="RIO LONGAVI LTDA"/>
    <s v="Comisión Nacional de Riego (CNR)"/>
    <x v="8"/>
    <s v="Subcuenca del Maule"/>
    <s v="Esta fase de ejecución del Programa tiene por objetivo el asegurar un aprovechamiento óptimo, equitativo y sustentable de los recursos hídricos en la zona de influencia del proyecto de mejoramiento del embalse Tutuvén, para lo cual se debían crear las condiciones necesarias para una adecuada administración del agua de riego y un mejor_x000a_manejo del recurso del embalse, a través, del fortalecimiento de la organización de regantes en ámbitos operacionales, organizacionales, legales y de infraestructura. Y preparar a los agricultores para que mejoren su capacidad de aprovechamiento del agua disponible a nivel predial, fomentando la incorporación de un riego más eficiente y la adopción de producciones agropecuarias más competitivas, a través, de transferencia de conocimiento y habilidades, como también de implementación de proyectos concretos."/>
    <s v="  Información relevante en el diagnóstico de la contaminacion par el apartado de medio ambiente"/>
    <s v="No"/>
    <m/>
  </r>
  <r>
    <s v="SAP050"/>
    <s v="SAP"/>
    <n v="50"/>
    <x v="4"/>
    <s v="ACTUALIZACIÓN DEL CATASTRO DE LA AGROINDUSTRIA HORTOFRUTÍCOLA CHILENA. RESUMEN EJECUTIVO"/>
    <n v="2012"/>
    <s v="IdeaConsulturo"/>
    <s v="SUBSECRETARÍA DE AGRICULTURA"/>
    <x v="8"/>
    <s v="Regional"/>
    <s v="Este informe considera los Problemas Ambientales y Criterios de Sustentabilidad de la Región del Maule, los cuales entregan el marco de sustentabilidad del plan, para luego sobre la base de éstos, generar los Objetivos Ambientales del Plan, los cuales consideran los aspectos que son normados en este instrumento y que cuentan con un enfoque ambiental. Asimismo, se analizan las alternativas de estructuración territorial (Escenarios Territoriales) que forman parte de la imagen objetivo que permite el diseño completo de la zonificación y la definición de las normas que forman parte del Plan, generando la respectiva evaluación de éstas, permitiendo analizar además, el escenario que será la base del proyecto de Plan."/>
    <s v="  Información relevante en el diagnóstico de la contaminacion par el apartado de medio ambiente en los problemas ambientales."/>
    <s v="No"/>
    <m/>
  </r>
  <r>
    <s v="SAP060"/>
    <s v="SAP"/>
    <n v="60"/>
    <x v="0"/>
    <s v="CAMBIOS TERRITORIALES Y TECNOLOGICOS EN EL RIEGO AGRICOLA EN CHILE ENTRE LOS AÑOS 1997 Y 2007"/>
    <n v="2012"/>
    <s v="ODEPA"/>
    <s v="ODEPA"/>
    <x v="8"/>
    <s v="Nacional"/>
    <s v="Este documento presenta una primera prueba a escala nacional de la aplicación de los criterios de la metodología de evaluación del estado de conservación de los ecosistemas de la Unión Internacional para la Conservación para la Naturaleza (IUCN), en los ecosistemas terrestres de Chile, para evaluar su aplicabilidad en el país."/>
    <s v="  Información relevante en el diagnóstico de la contaminacion par el apartado de medio ambiente, conservación de los ecosistemas."/>
    <s v="No"/>
    <m/>
  </r>
  <r>
    <s v="SAP070"/>
    <s v="SAP"/>
    <n v="70"/>
    <x v="1"/>
    <s v="PROGRAMA DE TRANSFERENCIA PARA EL DESARROLLO DEL RIEGO EN ANCOA. ETAPA EJECUCIÓN. INFORME FINAL"/>
    <n v="2013"/>
    <s v="GUAIQUIVILO CONSULTORÍA PROFESIONAL"/>
    <s v="Comisión Nacional de Riego (CNR)"/>
    <x v="8"/>
    <s v="Nacional"/>
    <s v="El Segundo Reporte del Estado del Medio Ambiente, que constituye una de las nuevas obligaciones legales, ha sido elaborado con la colaboración de distintos servicios públicos con competencia ambiental. En esta publicación se puede rescatar las principales tendencias en el ámbito de la gestión ambiental, en la cual además se da cuenta del catastro de puntos de conflictos existentes a nivel nacional, por lo cual existe información relevante sobre la región del Maule."/>
    <s v="  Información relevante en el diagnóstico de la contaminacion par el apartado de medio ambiente"/>
    <s v="No"/>
    <m/>
  </r>
  <r>
    <s v="SAP080"/>
    <s v="SAP"/>
    <n v="80"/>
    <x v="4"/>
    <s v="CATASTRO ODEPA, REGION DEL MAULE 2015"/>
    <n v="2016"/>
    <s v="ODEPA"/>
    <s v="ODEPA"/>
    <x v="8"/>
    <s v="Regional"/>
    <s v="Este Catastro ODEPA es una actualización a enero de 2016, su contenido está representado por tablas y cuadros referidos a: i) Economía Regional, ii) Aspectos Geográficos y Demográficos, iii) Perfil de los productores, iv) Cultivos, Censal y Anual, v) Ganadería y riegos, vi) Exportaciones, vii) División Política y Administrativa, viii) Autoridades, y ix) Antecedentes sociales Regionales."/>
    <s v="  Información relevante en el diagnóstico de la contaminacion par el apartado de medio ambiente y demanda hidrica."/>
    <s v="N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4" minRefreshableVersion="3" useAutoFormatting="1" rowGrandTotals="0" itemPrintTitles="1" createdVersion="4" indent="0" outline="1" outlineData="1" multipleFieldFilters="0" rowHeaderCaption="REFERENCIA">
  <location ref="C20:C193" firstHeaderRow="1" firstDataRow="1" firstDataCol="1" rowPageCount="7" colPageCount="1"/>
  <pivotFields count="15">
    <pivotField axis="axisRow" showAll="0" sortType="ascending">
      <items count="174">
        <item x="0"/>
        <item x="1"/>
        <item x="2"/>
        <item x="3"/>
        <item x="4"/>
        <item x="5"/>
        <item x="6"/>
        <item x="7"/>
        <item x="8"/>
        <item x="9"/>
        <item x="10"/>
        <item x="11"/>
        <item x="12"/>
        <item x="13"/>
        <item x="14"/>
        <item x="15"/>
        <item x="16"/>
        <item x="17"/>
        <item x="101"/>
        <item x="18"/>
        <item x="19"/>
        <item x="20"/>
        <item x="21"/>
        <item x="22"/>
        <item x="23"/>
        <item x="24"/>
        <item x="25"/>
        <item x="26"/>
        <item x="27"/>
        <item x="28"/>
        <item x="29"/>
        <item x="30"/>
        <item x="31"/>
        <item x="32"/>
        <item x="33"/>
        <item x="34"/>
        <item x="35"/>
        <item x="36"/>
        <item x="37"/>
        <item x="38"/>
        <item x="39"/>
        <item x="40"/>
        <item x="41"/>
        <item x="42"/>
        <item x="43"/>
        <item x="44"/>
        <item x="46"/>
        <item x="45"/>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9"/>
        <item x="108"/>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t="default"/>
      </items>
    </pivotField>
    <pivotField showAll="0" defaultSubtotal="0"/>
    <pivotField numFmtId="165" showAll="0" defaultSubtotal="0"/>
    <pivotField axis="axisPage" showAll="0" defaultSubtotal="0">
      <items count="10">
        <item x="2"/>
        <item x="4"/>
        <item m="1" x="8"/>
        <item m="1" x="9"/>
        <item x="1"/>
        <item x="3"/>
        <item x="6"/>
        <item x="5"/>
        <item m="1" x="7"/>
        <item x="0"/>
      </items>
    </pivotField>
    <pivotField axis="axisPage" showAll="0" defaultSubtotal="0">
      <items count="178">
        <item x="153"/>
        <item x="33"/>
        <item x="169"/>
        <item x="20"/>
        <item x="8"/>
        <item x="41"/>
        <item x="42"/>
        <item x="146"/>
        <item x="161"/>
        <item x="109"/>
        <item x="12"/>
        <item x="11"/>
        <item x="167"/>
        <item x="0"/>
        <item x="39"/>
        <item x="129"/>
        <item x="144"/>
        <item x="87"/>
        <item x="150"/>
        <item x="126"/>
        <item x="163"/>
        <item x="149"/>
        <item x="170"/>
        <item x="84"/>
        <item x="83"/>
        <item x="90"/>
        <item x="68"/>
        <item x="92"/>
        <item x="172"/>
        <item x="166"/>
        <item x="100"/>
        <item x="46"/>
        <item m="1" x="174"/>
        <item x="116"/>
        <item x="7"/>
        <item x="114"/>
        <item x="111"/>
        <item x="135"/>
        <item x="115"/>
        <item x="14"/>
        <item x="47"/>
        <item x="160"/>
        <item x="155"/>
        <item x="13"/>
        <item x="148"/>
        <item x="165"/>
        <item x="2"/>
        <item x="4"/>
        <item x="3"/>
        <item x="76"/>
        <item x="93"/>
        <item x="125"/>
        <item x="91"/>
        <item x="9"/>
        <item x="106"/>
        <item x="99"/>
        <item x="5"/>
        <item x="98"/>
        <item x="80"/>
        <item x="10"/>
        <item x="89"/>
        <item x="97"/>
        <item x="95"/>
        <item x="67"/>
        <item x="152"/>
        <item x="159"/>
        <item x="69"/>
        <item x="128"/>
        <item x="162"/>
        <item x="151"/>
        <item m="1" x="173"/>
        <item x="51"/>
        <item x="44"/>
        <item x="145"/>
        <item x="15"/>
        <item x="107"/>
        <item x="48"/>
        <item x="65"/>
        <item x="28"/>
        <item x="81"/>
        <item x="164"/>
        <item x="123"/>
        <item x="110"/>
        <item x="86"/>
        <item x="118"/>
        <item x="18"/>
        <item x="113"/>
        <item x="120"/>
        <item x="104"/>
        <item x="70"/>
        <item x="156"/>
        <item x="71"/>
        <item x="139"/>
        <item x="1"/>
        <item x="88"/>
        <item x="40"/>
        <item x="60"/>
        <item x="50"/>
        <item x="64"/>
        <item x="55"/>
        <item x="61"/>
        <item x="63"/>
        <item x="62"/>
        <item x="57"/>
        <item x="58"/>
        <item x="59"/>
        <item x="103"/>
        <item x="154"/>
        <item x="85"/>
        <item x="75"/>
        <item x="74"/>
        <item x="72"/>
        <item x="77"/>
        <item x="78"/>
        <item x="17"/>
        <item x="43"/>
        <item x="52"/>
        <item x="56"/>
        <item x="29"/>
        <item x="157"/>
        <item m="1" x="177"/>
        <item x="105"/>
        <item x="53"/>
        <item x="158"/>
        <item x="16"/>
        <item x="73"/>
        <item x="102"/>
        <item x="82"/>
        <item x="168"/>
        <item x="19"/>
        <item x="171"/>
        <item x="6"/>
        <item x="30"/>
        <item x="24"/>
        <item x="49"/>
        <item x="54"/>
        <item x="66"/>
        <item x="132"/>
        <item x="137"/>
        <item x="94"/>
        <item x="124"/>
        <item x="23"/>
        <item x="27"/>
        <item x="31"/>
        <item x="35"/>
        <item x="38"/>
        <item m="1" x="176"/>
        <item x="79"/>
        <item x="96"/>
        <item x="36"/>
        <item x="37"/>
        <item x="45"/>
        <item x="119"/>
        <item x="147"/>
        <item x="21"/>
        <item x="22"/>
        <item x="25"/>
        <item x="26"/>
        <item x="32"/>
        <item x="34"/>
        <item x="101"/>
        <item x="108"/>
        <item x="112"/>
        <item x="117"/>
        <item x="121"/>
        <item x="122"/>
        <item x="127"/>
        <item m="1" x="175"/>
        <item x="131"/>
        <item x="133"/>
        <item x="134"/>
        <item x="136"/>
        <item x="138"/>
        <item x="130"/>
        <item x="140"/>
        <item x="141"/>
        <item x="142"/>
        <item x="143"/>
      </items>
    </pivotField>
    <pivotField axis="axisPage" showAll="0" defaultSubtotal="0">
      <items count="28">
        <item x="26"/>
        <item x="20"/>
        <item x="0"/>
        <item x="18"/>
        <item x="21"/>
        <item x="22"/>
        <item x="23"/>
        <item x="24"/>
        <item x="19"/>
        <item x="1"/>
        <item x="2"/>
        <item x="27"/>
        <item x="3"/>
        <item x="11"/>
        <item x="7"/>
        <item x="4"/>
        <item x="5"/>
        <item x="8"/>
        <item x="9"/>
        <item x="10"/>
        <item x="6"/>
        <item x="13"/>
        <item x="14"/>
        <item x="25"/>
        <item x="15"/>
        <item x="16"/>
        <item x="17"/>
        <item x="12"/>
      </items>
    </pivotField>
    <pivotField axis="axisPage" showAll="0" defaultSubtotal="0">
      <items count="99">
        <item x="29"/>
        <item x="53"/>
        <item x="57"/>
        <item x="0"/>
        <item x="2"/>
        <item x="44"/>
        <item x="12"/>
        <item x="10"/>
        <item x="36"/>
        <item x="62"/>
        <item x="7"/>
        <item x="63"/>
        <item x="27"/>
        <item x="47"/>
        <item x="54"/>
        <item x="90"/>
        <item x="56"/>
        <item x="26"/>
        <item x="92"/>
        <item x="31"/>
        <item x="86"/>
        <item x="88"/>
        <item x="55"/>
        <item x="66"/>
        <item x="48"/>
        <item x="94"/>
        <item x="60"/>
        <item x="5"/>
        <item x="34"/>
        <item x="84"/>
        <item x="46"/>
        <item x="89"/>
        <item x="74"/>
        <item x="21"/>
        <item x="3"/>
        <item x="67"/>
        <item x="18"/>
        <item x="17"/>
        <item x="97"/>
        <item x="96"/>
        <item x="81"/>
        <item x="6"/>
        <item x="49"/>
        <item x="1"/>
        <item x="28"/>
        <item x="87"/>
        <item x="61"/>
        <item x="73"/>
        <item x="82"/>
        <item x="30"/>
        <item x="65"/>
        <item x="39"/>
        <item x="38"/>
        <item x="41"/>
        <item x="35"/>
        <item x="40"/>
        <item x="42"/>
        <item x="43"/>
        <item x="83"/>
        <item x="93"/>
        <item x="37"/>
        <item x="32"/>
        <item x="11"/>
        <item x="50"/>
        <item x="52"/>
        <item x="45"/>
        <item x="95"/>
        <item x="85"/>
        <item x="33"/>
        <item x="80"/>
        <item x="51"/>
        <item x="4"/>
        <item x="19"/>
        <item x="58"/>
        <item x="9"/>
        <item x="91"/>
        <item x="8"/>
        <item x="14"/>
        <item x="13"/>
        <item x="15"/>
        <item m="1" x="98"/>
        <item x="23"/>
        <item x="24"/>
        <item x="25"/>
        <item x="70"/>
        <item x="16"/>
        <item x="20"/>
        <item x="22"/>
        <item x="59"/>
        <item x="64"/>
        <item x="68"/>
        <item x="69"/>
        <item x="71"/>
        <item x="72"/>
        <item x="75"/>
        <item x="76"/>
        <item x="77"/>
        <item x="78"/>
        <item x="79"/>
      </items>
    </pivotField>
    <pivotField axis="axisPage" showAll="0" defaultSubtotal="0">
      <items count="55">
        <item x="35"/>
        <item x="5"/>
        <item x="36"/>
        <item x="0"/>
        <item x="37"/>
        <item x="4"/>
        <item x="6"/>
        <item x="33"/>
        <item x="50"/>
        <item x="1"/>
        <item x="47"/>
        <item x="19"/>
        <item x="38"/>
        <item x="20"/>
        <item x="21"/>
        <item x="27"/>
        <item x="24"/>
        <item x="3"/>
        <item x="10"/>
        <item x="14"/>
        <item x="49"/>
        <item x="9"/>
        <item x="7"/>
        <item x="17"/>
        <item x="18"/>
        <item x="11"/>
        <item x="28"/>
        <item x="26"/>
        <item x="30"/>
        <item x="22"/>
        <item x="29"/>
        <item x="31"/>
        <item x="32"/>
        <item x="40"/>
        <item x="51"/>
        <item x="25"/>
        <item x="52"/>
        <item x="2"/>
        <item x="53"/>
        <item x="12"/>
        <item x="48"/>
        <item x="23"/>
        <item m="1" x="54"/>
        <item x="8"/>
        <item x="16"/>
        <item x="13"/>
        <item x="15"/>
        <item x="34"/>
        <item x="39"/>
        <item x="41"/>
        <item x="42"/>
        <item x="43"/>
        <item x="44"/>
        <item x="45"/>
        <item x="46"/>
      </items>
    </pivotField>
    <pivotField axis="axisPage" multipleItemSelectionAllowed="1" showAll="0" defaultSubtotal="0">
      <items count="9">
        <item x="0"/>
        <item x="1"/>
        <item x="2"/>
        <item x="3"/>
        <item x="4"/>
        <item x="5"/>
        <item x="6"/>
        <item x="7"/>
        <item x="8"/>
      </items>
    </pivotField>
    <pivotField axis="axisPage" showAll="0" defaultSubtotal="0">
      <items count="12">
        <item x="5"/>
        <item x="2"/>
        <item x="3"/>
        <item x="9"/>
        <item x="7"/>
        <item x="1"/>
        <item x="6"/>
        <item x="0"/>
        <item x="8"/>
        <item x="4"/>
        <item m="1" x="11"/>
        <item x="10"/>
      </items>
    </pivotField>
    <pivotField showAll="0" defaultSubtotal="0"/>
    <pivotField showAll="0" defaultSubtotal="0"/>
    <pivotField showAll="0" defaultSubtotal="0"/>
    <pivotField showAll="0" defaultSubtotal="0"/>
    <pivotField showAll="0" defaultSubtotal="0"/>
  </pivotFields>
  <rowFields count="1">
    <field x="0"/>
  </rowFields>
  <rowItems count="1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rowItems>
  <colItems count="1">
    <i/>
  </colItems>
  <pageFields count="7">
    <pageField fld="3" hier="-1"/>
    <pageField fld="4" hier="-1"/>
    <pageField fld="5" hier="-1"/>
    <pageField fld="6" hier="-1"/>
    <pageField fld="7" hier="-1"/>
    <pageField fld="8" hier="-1"/>
    <pageField fld="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8">
  <location ref="A50:B60" firstHeaderRow="1" firstDataRow="1" firstDataCol="1" rowPageCount="1" colPageCount="1"/>
  <pivotFields count="14">
    <pivotField showAll="0"/>
    <pivotField showAll="0"/>
    <pivotField showAll="0"/>
    <pivotField axis="axisPage" multipleItemSelectionAllowed="1" showAll="0">
      <items count="10">
        <item h="1" x="2"/>
        <item h="1" x="4"/>
        <item h="1" m="1" x="7"/>
        <item m="1" x="8"/>
        <item h="1" x="1"/>
        <item h="1" x="3"/>
        <item h="1" x="6"/>
        <item h="1" x="5"/>
        <item x="0"/>
        <item t="default"/>
      </items>
    </pivotField>
    <pivotField showAll="0"/>
    <pivotField showAll="0"/>
    <pivotField showAll="0" defaultSubtotal="0"/>
    <pivotField showAll="0"/>
    <pivotField axis="axisRow" dataField="1" showAll="0">
      <items count="10">
        <item x="0"/>
        <item x="1"/>
        <item x="2"/>
        <item x="3"/>
        <item x="4"/>
        <item x="5"/>
        <item x="6"/>
        <item x="7"/>
        <item x="8"/>
        <item t="default"/>
      </items>
    </pivotField>
    <pivotField showAll="0"/>
    <pivotField showAll="0" defaultSubtotal="0"/>
    <pivotField showAll="0" defaultSubtotal="0"/>
    <pivotField showAll="0" defaultSubtotal="0"/>
    <pivotField showAll="0"/>
  </pivotFields>
  <rowFields count="1">
    <field x="8"/>
  </rowFields>
  <rowItems count="10">
    <i>
      <x/>
    </i>
    <i>
      <x v="1"/>
    </i>
    <i>
      <x v="2"/>
    </i>
    <i>
      <x v="3"/>
    </i>
    <i>
      <x v="4"/>
    </i>
    <i>
      <x v="5"/>
    </i>
    <i>
      <x v="6"/>
    </i>
    <i>
      <x v="7"/>
    </i>
    <i>
      <x v="8"/>
    </i>
    <i t="grand">
      <x/>
    </i>
  </rowItems>
  <colItems count="1">
    <i/>
  </colItems>
  <pageFields count="1">
    <pageField fld="3" hier="-1"/>
  </pageFields>
  <dataFields count="1">
    <dataField name="Cuenta de Temática" fld="8" subtotal="count"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7">
  <location ref="A31:B39" firstHeaderRow="1" firstDataRow="1" firstDataCol="1"/>
  <pivotFields count="15">
    <pivotField showAll="0"/>
    <pivotField showAll="0"/>
    <pivotField showAll="0"/>
    <pivotField axis="axisRow" dataField="1" showAll="0">
      <items count="11">
        <item x="2"/>
        <item m="1" x="8"/>
        <item m="1" x="9"/>
        <item x="1"/>
        <item x="3"/>
        <item x="5"/>
        <item h="1" m="1" x="7"/>
        <item x="6"/>
        <item x="4"/>
        <item x="0"/>
        <item t="default"/>
      </items>
    </pivotField>
    <pivotField showAll="0"/>
    <pivotField showAll="0"/>
    <pivotField showAll="0" defaultSubtotal="0"/>
    <pivotField showAll="0"/>
    <pivotField showAll="0"/>
    <pivotField showAll="0"/>
    <pivotField showAll="0"/>
    <pivotField showAll="0" defaultSubtotal="0"/>
    <pivotField showAll="0" defaultSubtotal="0"/>
    <pivotField showAll="0"/>
    <pivotField showAll="0" defaultSubtotal="0"/>
  </pivotFields>
  <rowFields count="1">
    <field x="3"/>
  </rowFields>
  <rowItems count="8">
    <i>
      <x/>
    </i>
    <i>
      <x v="3"/>
    </i>
    <i>
      <x v="4"/>
    </i>
    <i>
      <x v="5"/>
    </i>
    <i>
      <x v="7"/>
    </i>
    <i>
      <x v="8"/>
    </i>
    <i>
      <x v="9"/>
    </i>
    <i t="grand">
      <x/>
    </i>
  </rowItems>
  <colItems count="1">
    <i/>
  </colItems>
  <dataFields count="1">
    <dataField name="Cuenta de Tipo de documento" fld="3" subtotal="count" baseField="0" baseItem="0"/>
  </dataFields>
  <chartFormats count="2">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7">
  <location ref="A1:B11" firstHeaderRow="1" firstDataRow="1" firstDataCol="1"/>
  <pivotFields count="14">
    <pivotField showAll="0"/>
    <pivotField showAll="0"/>
    <pivotField showAll="0"/>
    <pivotField showAll="0"/>
    <pivotField showAll="0"/>
    <pivotField showAll="0"/>
    <pivotField showAll="0" defaultSubtotal="0"/>
    <pivotField showAll="0"/>
    <pivotField axis="axisRow" dataField="1" showAll="0">
      <items count="10">
        <item x="0"/>
        <item x="1"/>
        <item x="2"/>
        <item x="3"/>
        <item x="4"/>
        <item x="5"/>
        <item x="6"/>
        <item x="7"/>
        <item x="8"/>
        <item t="default"/>
      </items>
    </pivotField>
    <pivotField showAll="0"/>
    <pivotField showAll="0" defaultSubtotal="0"/>
    <pivotField showAll="0" defaultSubtotal="0"/>
    <pivotField showAll="0" defaultSubtotal="0"/>
    <pivotField showAll="0"/>
  </pivotFields>
  <rowFields count="1">
    <field x="8"/>
  </rowFields>
  <rowItems count="10">
    <i>
      <x/>
    </i>
    <i>
      <x v="1"/>
    </i>
    <i>
      <x v="2"/>
    </i>
    <i>
      <x v="3"/>
    </i>
    <i>
      <x v="4"/>
    </i>
    <i>
      <x v="5"/>
    </i>
    <i>
      <x v="6"/>
    </i>
    <i>
      <x v="7"/>
    </i>
    <i>
      <x v="8"/>
    </i>
    <i t="grand">
      <x/>
    </i>
  </rowItems>
  <colItems count="1">
    <i/>
  </colItems>
  <dataFields count="1">
    <dataField name="Cuenta de Temática" fld="8" subtotal="count" baseField="0" baseItem="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a1" displayName="Tabla1" ref="E1:S174" totalsRowShown="0" headerRowDxfId="16" dataDxfId="15" headerRowCellStyle="60% - Énfasis3">
  <autoFilter ref="E1:S174">
    <filterColumn colId="1">
      <filters>
        <filter val="DT"/>
      </filters>
    </filterColumn>
  </autoFilter>
  <tableColumns count="15">
    <tableColumn id="1" name="Referencia" dataDxfId="14">
      <calculatedColumnFormula>F2&amp;TEXT(G2,"000")</calculatedColumnFormula>
    </tableColumn>
    <tableColumn id="2" name="Codigo" dataDxfId="13"/>
    <tableColumn id="3" name="ID" dataDxfId="12"/>
    <tableColumn id="4" name="Tipo de documento" dataDxfId="11"/>
    <tableColumn id="6" name="Título" dataDxfId="10"/>
    <tableColumn id="11" name="Año" dataDxfId="9"/>
    <tableColumn id="7" name="Autor" dataDxfId="8"/>
    <tableColumn id="8" name="Mandante" dataDxfId="7"/>
    <tableColumn id="5" name="Temática" dataDxfId="6">
      <calculatedColumnFormula>VLOOKUP(F2,ListaValores!$C$2:$D$11,2,0)</calculatedColumnFormula>
    </tableColumn>
    <tableColumn id="10" name="Ámbito territorial" dataDxfId="5"/>
    <tableColumn id="12" name="Resumen" dataDxfId="4"/>
    <tableColumn id="13" name="Información relevante para el Plan" dataDxfId="3"/>
    <tableColumn id="14" name="Citado en Informe" dataDxfId="2"/>
    <tableColumn id="18" name="Nº Serie DGA (SEB, SIT, SDT) " dataDxfId="1"/>
    <tableColumn id="9" name="Archivo" dataDxfId="0"/>
  </tableColumns>
  <tableStyleInfo name="TableStyleMedium1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U176"/>
  <sheetViews>
    <sheetView tabSelected="1" topLeftCell="F20" zoomScale="85" zoomScaleNormal="85" workbookViewId="0">
      <selection activeCell="I36" sqref="I36"/>
    </sheetView>
  </sheetViews>
  <sheetFormatPr baseColWidth="10" defaultRowHeight="15" x14ac:dyDescent="0.25"/>
  <cols>
    <col min="2" max="2" width="11.85546875" bestFit="1" customWidth="1"/>
    <col min="4" max="4" width="8.140625" customWidth="1"/>
    <col min="5" max="5" width="12.7109375" style="6" customWidth="1"/>
    <col min="6" max="6" width="9.28515625" style="6" customWidth="1"/>
    <col min="7" max="7" width="7.5703125" style="6" customWidth="1"/>
    <col min="8" max="8" width="25" style="7" customWidth="1"/>
    <col min="9" max="9" width="72" style="7" customWidth="1"/>
    <col min="10" max="10" width="8.28515625" style="7" customWidth="1"/>
    <col min="11" max="11" width="42.28515625" style="7" customWidth="1"/>
    <col min="12" max="12" width="47.140625" style="7" bestFit="1" customWidth="1"/>
    <col min="13" max="13" width="47.140625" style="7" customWidth="1"/>
    <col min="14" max="14" width="20.140625" style="8" customWidth="1"/>
    <col min="15" max="15" width="43.28515625" style="7" customWidth="1"/>
    <col min="16" max="16" width="22.7109375" style="7" customWidth="1"/>
    <col min="17" max="17" width="9.5703125" style="97" customWidth="1"/>
    <col min="18" max="18" width="11.28515625" style="23" customWidth="1"/>
    <col min="19" max="19" width="58.42578125" bestFit="1" customWidth="1"/>
    <col min="20" max="20" width="11.85546875" style="6" bestFit="1" customWidth="1"/>
    <col min="21" max="21" width="13.85546875" style="6" customWidth="1"/>
    <col min="22" max="16384" width="11.42578125" style="6"/>
  </cols>
  <sheetData>
    <row r="1" spans="1:21" ht="45.75" thickBot="1" x14ac:dyDescent="0.3">
      <c r="E1" s="24" t="s">
        <v>152</v>
      </c>
      <c r="F1" s="24" t="s">
        <v>48</v>
      </c>
      <c r="G1" s="24" t="s">
        <v>112</v>
      </c>
      <c r="H1" s="24" t="s">
        <v>120</v>
      </c>
      <c r="I1" s="24" t="s">
        <v>0</v>
      </c>
      <c r="J1" s="25" t="s">
        <v>51</v>
      </c>
      <c r="K1" s="24" t="s">
        <v>154</v>
      </c>
      <c r="L1" s="24" t="s">
        <v>155</v>
      </c>
      <c r="M1" s="24" t="s">
        <v>105</v>
      </c>
      <c r="N1" s="24" t="s">
        <v>1</v>
      </c>
      <c r="O1" s="26" t="s">
        <v>156</v>
      </c>
      <c r="P1" s="26" t="s">
        <v>495</v>
      </c>
      <c r="Q1" s="95" t="s">
        <v>819</v>
      </c>
      <c r="R1" s="24" t="s">
        <v>114</v>
      </c>
      <c r="S1" s="54" t="s">
        <v>340</v>
      </c>
    </row>
    <row r="2" spans="1:21" ht="26.25" hidden="1" thickTop="1" x14ac:dyDescent="0.25">
      <c r="A2" s="38"/>
      <c r="E2" s="71" t="str">
        <f t="shared" ref="E2:E44" si="0">F2&amp;TEXT(G2,"000")</f>
        <v>CA010</v>
      </c>
      <c r="F2" s="27" t="s">
        <v>22</v>
      </c>
      <c r="G2" s="28">
        <v>10</v>
      </c>
      <c r="H2" s="29" t="s">
        <v>837</v>
      </c>
      <c r="I2" s="30" t="s">
        <v>332</v>
      </c>
      <c r="J2" s="31">
        <v>1994</v>
      </c>
      <c r="K2" s="32" t="s">
        <v>233</v>
      </c>
      <c r="L2" s="29" t="s">
        <v>157</v>
      </c>
      <c r="M2" s="42" t="str">
        <f>VLOOKUP(F2,ListaValores!$C$2:$D$11,2,0)</f>
        <v>Calidad del Agua</v>
      </c>
      <c r="N2" s="27" t="s">
        <v>4</v>
      </c>
      <c r="O2" s="33" t="s">
        <v>653</v>
      </c>
      <c r="P2" s="42" t="s">
        <v>751</v>
      </c>
      <c r="Q2" s="96" t="s">
        <v>820</v>
      </c>
      <c r="R2" s="29"/>
      <c r="S2" s="93" t="s">
        <v>341</v>
      </c>
    </row>
    <row r="3" spans="1:21" s="39" customFormat="1" ht="15.75" hidden="1" thickTop="1" x14ac:dyDescent="0.25">
      <c r="A3" s="38"/>
      <c r="B3" s="38"/>
      <c r="D3"/>
      <c r="E3" s="71" t="str">
        <f t="shared" si="0"/>
        <v>CA030</v>
      </c>
      <c r="F3" s="40" t="s">
        <v>22</v>
      </c>
      <c r="G3" s="41">
        <v>30</v>
      </c>
      <c r="H3" s="42" t="s">
        <v>837</v>
      </c>
      <c r="I3" s="43" t="s">
        <v>113</v>
      </c>
      <c r="J3" s="44">
        <v>2003</v>
      </c>
      <c r="K3" s="45" t="s">
        <v>13</v>
      </c>
      <c r="L3" s="42" t="s">
        <v>157</v>
      </c>
      <c r="M3" s="42" t="str">
        <f>VLOOKUP(F3,ListaValores!$C$2:$D$11,2,0)</f>
        <v>Calidad del Agua</v>
      </c>
      <c r="N3" s="40" t="s">
        <v>6</v>
      </c>
      <c r="O3" s="33" t="s">
        <v>312</v>
      </c>
      <c r="P3" s="42" t="s">
        <v>752</v>
      </c>
      <c r="Q3" s="96" t="s">
        <v>820</v>
      </c>
      <c r="R3" s="42"/>
      <c r="S3" s="93" t="s">
        <v>342</v>
      </c>
    </row>
    <row r="4" spans="1:21" ht="26.25" hidden="1" thickTop="1" x14ac:dyDescent="0.25">
      <c r="A4" s="38"/>
      <c r="B4" s="38"/>
      <c r="E4" s="71" t="str">
        <f t="shared" si="0"/>
        <v>CA040</v>
      </c>
      <c r="F4" s="27" t="s">
        <v>22</v>
      </c>
      <c r="G4" s="28">
        <v>40</v>
      </c>
      <c r="H4" s="42" t="s">
        <v>837</v>
      </c>
      <c r="I4" s="30" t="s">
        <v>124</v>
      </c>
      <c r="J4" s="31">
        <v>2004</v>
      </c>
      <c r="K4" s="32" t="s">
        <v>2</v>
      </c>
      <c r="L4" s="29" t="s">
        <v>232</v>
      </c>
      <c r="M4" s="42" t="str">
        <f>VLOOKUP(F4,ListaValores!$C$2:$D$11,2,0)</f>
        <v>Calidad del Agua</v>
      </c>
      <c r="N4" s="27" t="s">
        <v>116</v>
      </c>
      <c r="O4" s="33" t="s">
        <v>313</v>
      </c>
      <c r="P4" s="107" t="s">
        <v>917</v>
      </c>
      <c r="Q4" s="96" t="s">
        <v>821</v>
      </c>
      <c r="R4" s="29"/>
      <c r="S4" s="93" t="s">
        <v>343</v>
      </c>
      <c r="T4" s="39"/>
      <c r="U4" s="39"/>
    </row>
    <row r="5" spans="1:21" ht="26.25" hidden="1" thickTop="1" x14ac:dyDescent="0.25">
      <c r="A5" s="38"/>
      <c r="B5" s="38"/>
      <c r="E5" s="71" t="str">
        <f t="shared" si="0"/>
        <v>CA045</v>
      </c>
      <c r="F5" s="27" t="s">
        <v>22</v>
      </c>
      <c r="G5" s="28">
        <v>45</v>
      </c>
      <c r="H5" s="42" t="s">
        <v>837</v>
      </c>
      <c r="I5" s="30" t="s">
        <v>276</v>
      </c>
      <c r="J5" s="31">
        <v>2004</v>
      </c>
      <c r="K5" s="32" t="s">
        <v>2</v>
      </c>
      <c r="L5" s="29" t="s">
        <v>232</v>
      </c>
      <c r="M5" s="42" t="str">
        <f>VLOOKUP(F5,ListaValores!$C$2:$D$11,2,0)</f>
        <v>Calidad del Agua</v>
      </c>
      <c r="N5" s="27" t="s">
        <v>116</v>
      </c>
      <c r="O5" s="33" t="s">
        <v>499</v>
      </c>
      <c r="P5" s="107" t="s">
        <v>918</v>
      </c>
      <c r="Q5" s="96" t="s">
        <v>821</v>
      </c>
      <c r="R5" s="29"/>
      <c r="S5" s="93" t="s">
        <v>344</v>
      </c>
      <c r="T5" s="39"/>
      <c r="U5" s="39"/>
    </row>
    <row r="6" spans="1:21" ht="26.25" hidden="1" thickTop="1" x14ac:dyDescent="0.25">
      <c r="A6" s="38"/>
      <c r="B6" s="38"/>
      <c r="E6" s="71" t="str">
        <f t="shared" si="0"/>
        <v>CA050</v>
      </c>
      <c r="F6" s="27" t="s">
        <v>22</v>
      </c>
      <c r="G6" s="28">
        <v>50</v>
      </c>
      <c r="H6" s="42" t="s">
        <v>837</v>
      </c>
      <c r="I6" s="30" t="s">
        <v>125</v>
      </c>
      <c r="J6" s="31">
        <v>2004</v>
      </c>
      <c r="K6" s="32" t="s">
        <v>2</v>
      </c>
      <c r="L6" s="29" t="s">
        <v>232</v>
      </c>
      <c r="M6" s="42" t="str">
        <f>VLOOKUP(F6,ListaValores!$C$2:$D$11,2,0)</f>
        <v>Calidad del Agua</v>
      </c>
      <c r="N6" s="27" t="s">
        <v>115</v>
      </c>
      <c r="O6" s="33" t="s">
        <v>314</v>
      </c>
      <c r="P6" s="107" t="s">
        <v>919</v>
      </c>
      <c r="Q6" s="96" t="s">
        <v>820</v>
      </c>
      <c r="R6" s="29"/>
      <c r="S6" s="93" t="s">
        <v>345</v>
      </c>
      <c r="T6" s="39"/>
      <c r="U6" s="39"/>
    </row>
    <row r="7" spans="1:21" ht="26.25" hidden="1" thickTop="1" x14ac:dyDescent="0.25">
      <c r="A7" s="38"/>
      <c r="B7" s="38"/>
      <c r="E7" s="71" t="str">
        <f t="shared" si="0"/>
        <v>CA055</v>
      </c>
      <c r="F7" s="27" t="s">
        <v>22</v>
      </c>
      <c r="G7" s="28">
        <v>55</v>
      </c>
      <c r="H7" s="42" t="s">
        <v>837</v>
      </c>
      <c r="I7" s="43" t="s">
        <v>327</v>
      </c>
      <c r="J7" s="31">
        <v>2006</v>
      </c>
      <c r="K7" s="32" t="s">
        <v>37</v>
      </c>
      <c r="L7" s="29" t="s">
        <v>157</v>
      </c>
      <c r="M7" s="42" t="str">
        <f>VLOOKUP(F7,ListaValores!$C$2:$D$11,2,0)</f>
        <v>Calidad del Agua</v>
      </c>
      <c r="N7" s="40" t="s">
        <v>116</v>
      </c>
      <c r="O7" s="33" t="s">
        <v>323</v>
      </c>
      <c r="P7" s="107" t="s">
        <v>920</v>
      </c>
      <c r="Q7" s="96" t="s">
        <v>820</v>
      </c>
      <c r="R7" s="29"/>
      <c r="S7" s="93" t="s">
        <v>346</v>
      </c>
      <c r="T7" s="39"/>
      <c r="U7" s="39"/>
    </row>
    <row r="8" spans="1:21" ht="26.25" hidden="1" thickTop="1" x14ac:dyDescent="0.25">
      <c r="A8" s="38"/>
      <c r="B8" s="38"/>
      <c r="E8" s="71" t="str">
        <f t="shared" si="0"/>
        <v>CA060</v>
      </c>
      <c r="F8" s="27" t="s">
        <v>22</v>
      </c>
      <c r="G8" s="28">
        <v>60</v>
      </c>
      <c r="H8" s="29" t="s">
        <v>121</v>
      </c>
      <c r="I8" s="30" t="s">
        <v>127</v>
      </c>
      <c r="J8" s="31">
        <v>2009</v>
      </c>
      <c r="K8" s="32" t="s">
        <v>126</v>
      </c>
      <c r="L8" s="29" t="s">
        <v>157</v>
      </c>
      <c r="M8" s="42" t="str">
        <f>VLOOKUP(F8,ListaValores!$C$2:$D$11,2,0)</f>
        <v>Calidad del Agua</v>
      </c>
      <c r="N8" s="27" t="s">
        <v>4</v>
      </c>
      <c r="O8" s="33" t="s">
        <v>316</v>
      </c>
      <c r="P8" s="42" t="s">
        <v>753</v>
      </c>
      <c r="Q8" s="96" t="s">
        <v>820</v>
      </c>
      <c r="R8" s="29"/>
      <c r="S8" s="93" t="s">
        <v>347</v>
      </c>
      <c r="T8" s="39"/>
      <c r="U8" s="39"/>
    </row>
    <row r="9" spans="1:21" ht="15.75" hidden="1" thickTop="1" x14ac:dyDescent="0.25">
      <c r="A9" s="38"/>
      <c r="B9" s="38"/>
      <c r="E9" s="71" t="str">
        <f t="shared" si="0"/>
        <v>CA070</v>
      </c>
      <c r="F9" s="27" t="s">
        <v>22</v>
      </c>
      <c r="G9" s="28">
        <v>70</v>
      </c>
      <c r="H9" s="29" t="s">
        <v>128</v>
      </c>
      <c r="I9" s="30" t="s">
        <v>56</v>
      </c>
      <c r="J9" s="31">
        <v>2010</v>
      </c>
      <c r="K9" s="32" t="s">
        <v>15</v>
      </c>
      <c r="L9" s="29" t="s">
        <v>129</v>
      </c>
      <c r="M9" s="42" t="str">
        <f>VLOOKUP(F9,ListaValores!$C$2:$D$11,2,0)</f>
        <v>Calidad del Agua</v>
      </c>
      <c r="N9" s="27" t="s">
        <v>4</v>
      </c>
      <c r="O9" s="33" t="s">
        <v>317</v>
      </c>
      <c r="P9" s="42" t="s">
        <v>754</v>
      </c>
      <c r="Q9" s="96" t="s">
        <v>820</v>
      </c>
      <c r="R9" s="29"/>
      <c r="S9" s="93" t="s">
        <v>348</v>
      </c>
      <c r="T9" s="39"/>
      <c r="U9" s="39"/>
    </row>
    <row r="10" spans="1:21" s="39" customFormat="1" ht="26.25" hidden="1" thickTop="1" x14ac:dyDescent="0.25">
      <c r="A10" s="38"/>
      <c r="B10" s="38"/>
      <c r="D10"/>
      <c r="E10" s="71" t="str">
        <f t="shared" si="0"/>
        <v>CA080</v>
      </c>
      <c r="F10" s="40" t="s">
        <v>22</v>
      </c>
      <c r="G10" s="41">
        <v>80</v>
      </c>
      <c r="H10" s="42" t="s">
        <v>837</v>
      </c>
      <c r="I10" s="43" t="s">
        <v>333</v>
      </c>
      <c r="J10" s="44">
        <v>2014</v>
      </c>
      <c r="K10" s="45" t="s">
        <v>334</v>
      </c>
      <c r="L10" s="42" t="s">
        <v>232</v>
      </c>
      <c r="M10" s="42" t="str">
        <f>VLOOKUP(F10,ListaValores!$C$2:$D$11,2,0)</f>
        <v>Calidad del Agua</v>
      </c>
      <c r="N10" s="40" t="s">
        <v>6</v>
      </c>
      <c r="O10" s="33" t="s">
        <v>656</v>
      </c>
      <c r="P10" s="42" t="s">
        <v>755</v>
      </c>
      <c r="Q10" s="96" t="s">
        <v>820</v>
      </c>
      <c r="R10" s="42" t="s">
        <v>335</v>
      </c>
      <c r="S10" s="93" t="s">
        <v>349</v>
      </c>
    </row>
    <row r="11" spans="1:21" ht="15.75" hidden="1" thickTop="1" x14ac:dyDescent="0.25">
      <c r="A11" s="38"/>
      <c r="B11" s="38"/>
      <c r="E11" s="71" t="str">
        <f t="shared" si="0"/>
        <v>CC005</v>
      </c>
      <c r="F11" s="27" t="s">
        <v>96</v>
      </c>
      <c r="G11" s="28">
        <v>5</v>
      </c>
      <c r="H11" s="29" t="s">
        <v>121</v>
      </c>
      <c r="I11" s="30" t="s">
        <v>57</v>
      </c>
      <c r="J11" s="31">
        <v>2006</v>
      </c>
      <c r="K11" s="32" t="s">
        <v>130</v>
      </c>
      <c r="L11" s="29" t="s">
        <v>26</v>
      </c>
      <c r="M11" s="42" t="str">
        <f>VLOOKUP(F11,ListaValores!$C$2:$D$11,2,0)</f>
        <v>Cambio Climático</v>
      </c>
      <c r="N11" s="27" t="s">
        <v>6</v>
      </c>
      <c r="O11" s="33" t="s">
        <v>315</v>
      </c>
      <c r="P11" s="107" t="s">
        <v>921</v>
      </c>
      <c r="Q11" s="96" t="s">
        <v>821</v>
      </c>
      <c r="R11" s="29"/>
      <c r="S11" s="93" t="s">
        <v>350</v>
      </c>
      <c r="T11" s="39"/>
      <c r="U11" s="39"/>
    </row>
    <row r="12" spans="1:21" ht="15.75" hidden="1" thickTop="1" x14ac:dyDescent="0.25">
      <c r="A12" s="38"/>
      <c r="B12" s="38"/>
      <c r="E12" s="71" t="str">
        <f t="shared" si="0"/>
        <v>CC006</v>
      </c>
      <c r="F12" s="27" t="s">
        <v>96</v>
      </c>
      <c r="G12" s="28">
        <v>6</v>
      </c>
      <c r="H12" s="42" t="s">
        <v>837</v>
      </c>
      <c r="I12" s="30" t="s">
        <v>131</v>
      </c>
      <c r="J12" s="31">
        <v>2006</v>
      </c>
      <c r="K12" s="32" t="s">
        <v>21</v>
      </c>
      <c r="L12" s="29" t="s">
        <v>133</v>
      </c>
      <c r="M12" s="42" t="str">
        <f>VLOOKUP(F12,ListaValores!$C$2:$D$11,2,0)</f>
        <v>Cambio Climático</v>
      </c>
      <c r="N12" s="27" t="s">
        <v>6</v>
      </c>
      <c r="O12" s="33" t="s">
        <v>318</v>
      </c>
      <c r="P12" s="107" t="s">
        <v>921</v>
      </c>
      <c r="Q12" s="96" t="s">
        <v>821</v>
      </c>
      <c r="R12" s="29"/>
      <c r="S12" s="93" t="s">
        <v>351</v>
      </c>
      <c r="T12" s="39"/>
      <c r="U12" s="39"/>
    </row>
    <row r="13" spans="1:21" ht="26.25" hidden="1" thickTop="1" x14ac:dyDescent="0.25">
      <c r="A13" s="38"/>
      <c r="B13" s="38"/>
      <c r="E13" s="71" t="str">
        <f t="shared" si="0"/>
        <v>CC010</v>
      </c>
      <c r="F13" s="27" t="s">
        <v>96</v>
      </c>
      <c r="G13" s="28">
        <v>10</v>
      </c>
      <c r="H13" s="42" t="s">
        <v>837</v>
      </c>
      <c r="I13" s="30" t="s">
        <v>249</v>
      </c>
      <c r="J13" s="31">
        <v>2008</v>
      </c>
      <c r="K13" s="32" t="s">
        <v>21</v>
      </c>
      <c r="L13" s="29" t="s">
        <v>133</v>
      </c>
      <c r="M13" s="42" t="str">
        <f>VLOOKUP(F13,ListaValores!$C$2:$D$11,2,0)</f>
        <v>Cambio Climático</v>
      </c>
      <c r="N13" s="27" t="s">
        <v>6</v>
      </c>
      <c r="O13" s="33" t="s">
        <v>319</v>
      </c>
      <c r="P13" s="42" t="s">
        <v>756</v>
      </c>
      <c r="Q13" s="96" t="s">
        <v>820</v>
      </c>
      <c r="R13" s="29"/>
      <c r="S13" s="93" t="s">
        <v>352</v>
      </c>
      <c r="T13" s="39"/>
      <c r="U13" s="39"/>
    </row>
    <row r="14" spans="1:21" ht="26.25" hidden="1" thickTop="1" x14ac:dyDescent="0.25">
      <c r="A14" s="38"/>
      <c r="B14" s="38"/>
      <c r="E14" s="71" t="str">
        <f t="shared" si="0"/>
        <v>CC020</v>
      </c>
      <c r="F14" s="27" t="s">
        <v>96</v>
      </c>
      <c r="G14" s="28">
        <v>20</v>
      </c>
      <c r="H14" s="42" t="s">
        <v>837</v>
      </c>
      <c r="I14" s="30" t="s">
        <v>132</v>
      </c>
      <c r="J14" s="31">
        <v>2008</v>
      </c>
      <c r="K14" s="32" t="s">
        <v>21</v>
      </c>
      <c r="L14" s="29" t="s">
        <v>133</v>
      </c>
      <c r="M14" s="42" t="str">
        <f>VLOOKUP(F14,ListaValores!$C$2:$D$11,2,0)</f>
        <v>Cambio Climático</v>
      </c>
      <c r="N14" s="27" t="s">
        <v>118</v>
      </c>
      <c r="O14" s="33" t="s">
        <v>320</v>
      </c>
      <c r="P14" s="42" t="s">
        <v>757</v>
      </c>
      <c r="Q14" s="96" t="s">
        <v>820</v>
      </c>
      <c r="R14" s="29"/>
      <c r="S14" s="93" t="s">
        <v>353</v>
      </c>
      <c r="T14" s="39"/>
      <c r="U14" s="39"/>
    </row>
    <row r="15" spans="1:21" ht="26.25" hidden="1" thickTop="1" x14ac:dyDescent="0.25">
      <c r="A15" s="38"/>
      <c r="B15" s="38"/>
      <c r="E15" s="71" t="str">
        <f t="shared" si="0"/>
        <v>CC030</v>
      </c>
      <c r="F15" s="27" t="s">
        <v>96</v>
      </c>
      <c r="G15" s="28">
        <v>30</v>
      </c>
      <c r="H15" s="42" t="s">
        <v>837</v>
      </c>
      <c r="I15" s="30" t="s">
        <v>134</v>
      </c>
      <c r="J15" s="31">
        <v>2010</v>
      </c>
      <c r="K15" s="32" t="s">
        <v>205</v>
      </c>
      <c r="L15" s="29" t="s">
        <v>237</v>
      </c>
      <c r="M15" s="42" t="str">
        <f>VLOOKUP(F15,ListaValores!$C$2:$D$11,2,0)</f>
        <v>Cambio Climático</v>
      </c>
      <c r="N15" s="27" t="s">
        <v>6</v>
      </c>
      <c r="O15" s="33" t="s">
        <v>657</v>
      </c>
      <c r="P15" s="42" t="s">
        <v>758</v>
      </c>
      <c r="Q15" s="96" t="s">
        <v>820</v>
      </c>
      <c r="R15" s="29"/>
      <c r="S15" s="93" t="s">
        <v>354</v>
      </c>
      <c r="T15" s="39"/>
      <c r="U15" s="39"/>
    </row>
    <row r="16" spans="1:21" ht="26.25" hidden="1" thickTop="1" x14ac:dyDescent="0.25">
      <c r="A16" s="38"/>
      <c r="B16" s="38"/>
      <c r="E16" s="71" t="str">
        <f t="shared" si="0"/>
        <v>CC040</v>
      </c>
      <c r="F16" s="27" t="s">
        <v>96</v>
      </c>
      <c r="G16" s="28">
        <v>40</v>
      </c>
      <c r="H16" s="42" t="s">
        <v>837</v>
      </c>
      <c r="I16" s="30" t="s">
        <v>250</v>
      </c>
      <c r="J16" s="31">
        <v>2010</v>
      </c>
      <c r="K16" s="32" t="s">
        <v>136</v>
      </c>
      <c r="L16" s="29" t="s">
        <v>27</v>
      </c>
      <c r="M16" s="42" t="str">
        <f>VLOOKUP(F16,ListaValores!$C$2:$D$11,2,0)</f>
        <v>Cambio Climático</v>
      </c>
      <c r="N16" s="27" t="s">
        <v>4</v>
      </c>
      <c r="O16" s="33" t="s">
        <v>135</v>
      </c>
      <c r="P16" s="42" t="s">
        <v>759</v>
      </c>
      <c r="Q16" s="96" t="s">
        <v>820</v>
      </c>
      <c r="R16" s="29"/>
      <c r="S16" s="93" t="s">
        <v>355</v>
      </c>
      <c r="T16" s="39"/>
      <c r="U16" s="39"/>
    </row>
    <row r="17" spans="1:21" ht="39" hidden="1" thickTop="1" x14ac:dyDescent="0.25">
      <c r="A17" s="38"/>
      <c r="B17" s="38"/>
      <c r="E17" s="71" t="str">
        <f t="shared" si="0"/>
        <v>CC060</v>
      </c>
      <c r="F17" s="27" t="s">
        <v>96</v>
      </c>
      <c r="G17" s="28">
        <v>60</v>
      </c>
      <c r="H17" s="42" t="s">
        <v>121</v>
      </c>
      <c r="I17" s="30" t="s">
        <v>137</v>
      </c>
      <c r="J17" s="31">
        <v>2011</v>
      </c>
      <c r="K17" s="32" t="s">
        <v>12</v>
      </c>
      <c r="L17" s="29" t="s">
        <v>241</v>
      </c>
      <c r="M17" s="42" t="str">
        <f>VLOOKUP(F17,ListaValores!$C$2:$D$11,2,0)</f>
        <v>Cambio Climático</v>
      </c>
      <c r="N17" s="27" t="s">
        <v>6</v>
      </c>
      <c r="O17" s="33" t="s">
        <v>138</v>
      </c>
      <c r="P17" s="107" t="s">
        <v>921</v>
      </c>
      <c r="Q17" s="96" t="s">
        <v>821</v>
      </c>
      <c r="R17" s="29"/>
      <c r="S17" s="93" t="s">
        <v>356</v>
      </c>
      <c r="T17" s="39"/>
      <c r="U17" s="39"/>
    </row>
    <row r="18" spans="1:21" ht="26.25" hidden="1" thickTop="1" x14ac:dyDescent="0.25">
      <c r="A18" s="38"/>
      <c r="B18" s="38"/>
      <c r="E18" s="71" t="str">
        <f t="shared" si="0"/>
        <v>CC080</v>
      </c>
      <c r="F18" s="27" t="s">
        <v>96</v>
      </c>
      <c r="G18" s="28">
        <v>80</v>
      </c>
      <c r="H18" s="29" t="s">
        <v>121</v>
      </c>
      <c r="I18" s="30" t="s">
        <v>229</v>
      </c>
      <c r="J18" s="31">
        <v>2012</v>
      </c>
      <c r="K18" s="32" t="s">
        <v>12</v>
      </c>
      <c r="L18" s="80" t="s">
        <v>290</v>
      </c>
      <c r="M18" s="42" t="str">
        <f>VLOOKUP(F18,ListaValores!$C$2:$D$11,2,0)</f>
        <v>Cambio Climático</v>
      </c>
      <c r="N18" s="27" t="s">
        <v>6</v>
      </c>
      <c r="O18" s="33" t="s">
        <v>142</v>
      </c>
      <c r="P18" s="107" t="s">
        <v>921</v>
      </c>
      <c r="Q18" s="96" t="s">
        <v>821</v>
      </c>
      <c r="R18" s="29"/>
      <c r="S18" s="93" t="s">
        <v>467</v>
      </c>
      <c r="T18" s="39"/>
      <c r="U18" s="39"/>
    </row>
    <row r="19" spans="1:21" ht="15.75" hidden="1" thickTop="1" x14ac:dyDescent="0.25">
      <c r="A19" s="38"/>
      <c r="B19" s="38"/>
      <c r="E19" s="71" t="str">
        <f t="shared" si="0"/>
        <v>CC090</v>
      </c>
      <c r="F19" s="27" t="s">
        <v>96</v>
      </c>
      <c r="G19" s="28">
        <v>90</v>
      </c>
      <c r="H19" s="29" t="s">
        <v>121</v>
      </c>
      <c r="I19" s="30" t="s">
        <v>139</v>
      </c>
      <c r="J19" s="31">
        <v>2013</v>
      </c>
      <c r="K19" s="32" t="s">
        <v>140</v>
      </c>
      <c r="L19" s="29" t="s">
        <v>239</v>
      </c>
      <c r="M19" s="42" t="str">
        <f>VLOOKUP(F19,ListaValores!$C$2:$D$11,2,0)</f>
        <v>Cambio Climático</v>
      </c>
      <c r="N19" s="27" t="s">
        <v>6</v>
      </c>
      <c r="O19" s="33" t="s">
        <v>141</v>
      </c>
      <c r="P19" s="107" t="s">
        <v>921</v>
      </c>
      <c r="Q19" s="96" t="s">
        <v>821</v>
      </c>
      <c r="R19" s="29"/>
      <c r="S19" s="93" t="s">
        <v>468</v>
      </c>
      <c r="T19" s="39"/>
      <c r="U19" s="39"/>
    </row>
    <row r="20" spans="1:21" ht="26.25" thickTop="1" x14ac:dyDescent="0.25">
      <c r="A20" s="38"/>
      <c r="B20" s="38"/>
      <c r="E20" s="71" t="str">
        <f t="shared" si="0"/>
        <v>DT010</v>
      </c>
      <c r="F20" s="27" t="s">
        <v>103</v>
      </c>
      <c r="G20" s="28">
        <v>10</v>
      </c>
      <c r="H20" s="42" t="s">
        <v>837</v>
      </c>
      <c r="I20" s="30" t="s">
        <v>143</v>
      </c>
      <c r="J20" s="31">
        <v>2007</v>
      </c>
      <c r="K20" s="32" t="s">
        <v>151</v>
      </c>
      <c r="L20" s="29" t="s">
        <v>234</v>
      </c>
      <c r="M20" s="42" t="str">
        <f>VLOOKUP(F20,ListaValores!$C$2:$D$11,2,0)</f>
        <v>Desarrollo Territorial</v>
      </c>
      <c r="N20" s="27" t="s">
        <v>4</v>
      </c>
      <c r="O20" s="33" t="s">
        <v>144</v>
      </c>
      <c r="P20" s="42" t="s">
        <v>760</v>
      </c>
      <c r="Q20" s="96" t="s">
        <v>820</v>
      </c>
      <c r="R20" s="29"/>
      <c r="S20" s="93" t="s">
        <v>357</v>
      </c>
      <c r="T20" s="39"/>
      <c r="U20" s="39"/>
    </row>
    <row r="21" spans="1:21" ht="25.5" x14ac:dyDescent="0.25">
      <c r="A21" s="38"/>
      <c r="B21" s="38"/>
      <c r="E21" s="71" t="str">
        <f>F21&amp;TEXT(G21,"000")</f>
        <v>DT015</v>
      </c>
      <c r="F21" s="27" t="s">
        <v>103</v>
      </c>
      <c r="G21" s="28">
        <v>15</v>
      </c>
      <c r="H21" s="29" t="s">
        <v>121</v>
      </c>
      <c r="I21" s="30" t="s">
        <v>88</v>
      </c>
      <c r="J21" s="31">
        <v>2006</v>
      </c>
      <c r="K21" s="32" t="s">
        <v>456</v>
      </c>
      <c r="L21" s="29" t="s">
        <v>157</v>
      </c>
      <c r="M21" s="42" t="str">
        <f>VLOOKUP(F21,ListaValores!$C$2:$D$11,2,0)</f>
        <v>Desarrollo Territorial</v>
      </c>
      <c r="N21" s="27" t="s">
        <v>4</v>
      </c>
      <c r="O21" s="33" t="s">
        <v>457</v>
      </c>
      <c r="P21" s="107" t="s">
        <v>922</v>
      </c>
      <c r="Q21" s="96" t="s">
        <v>821</v>
      </c>
      <c r="R21" s="29"/>
      <c r="S21" s="93" t="s">
        <v>469</v>
      </c>
      <c r="T21" s="39"/>
      <c r="U21" s="39"/>
    </row>
    <row r="22" spans="1:21" x14ac:dyDescent="0.25">
      <c r="A22" s="38"/>
      <c r="B22" s="38"/>
      <c r="E22" s="71" t="str">
        <f t="shared" si="0"/>
        <v>DT020</v>
      </c>
      <c r="F22" s="27" t="s">
        <v>103</v>
      </c>
      <c r="G22" s="28">
        <v>20</v>
      </c>
      <c r="H22" s="42" t="s">
        <v>121</v>
      </c>
      <c r="I22" s="30" t="s">
        <v>145</v>
      </c>
      <c r="J22" s="31">
        <v>2007</v>
      </c>
      <c r="K22" s="32" t="s">
        <v>41</v>
      </c>
      <c r="L22" s="29" t="s">
        <v>42</v>
      </c>
      <c r="M22" s="42" t="str">
        <f>VLOOKUP(F22,ListaValores!$C$2:$D$11,2,0)</f>
        <v>Desarrollo Territorial</v>
      </c>
      <c r="N22" s="27" t="s">
        <v>4</v>
      </c>
      <c r="O22" s="78" t="s">
        <v>694</v>
      </c>
      <c r="P22" s="42" t="s">
        <v>761</v>
      </c>
      <c r="Q22" s="96" t="s">
        <v>820</v>
      </c>
      <c r="R22" s="29"/>
      <c r="S22" s="93" t="s">
        <v>358</v>
      </c>
      <c r="T22" s="39"/>
      <c r="U22" s="39"/>
    </row>
    <row r="23" spans="1:21" ht="25.5" x14ac:dyDescent="0.25">
      <c r="A23" s="38"/>
      <c r="B23" s="38"/>
      <c r="E23" s="71" t="str">
        <f>F23&amp;TEXT(G23,"000")</f>
        <v>DT021</v>
      </c>
      <c r="F23" s="40" t="s">
        <v>103</v>
      </c>
      <c r="G23" s="41">
        <v>21</v>
      </c>
      <c r="H23" s="42" t="s">
        <v>121</v>
      </c>
      <c r="I23" s="43" t="s">
        <v>904</v>
      </c>
      <c r="J23" s="46">
        <v>2007</v>
      </c>
      <c r="K23" s="45" t="s">
        <v>905</v>
      </c>
      <c r="L23" s="42" t="s">
        <v>234</v>
      </c>
      <c r="M23" s="44" t="str">
        <f>VLOOKUP(F23,ListaValores!$C$2:$D$11,2,0)</f>
        <v>Desarrollo Territorial</v>
      </c>
      <c r="N23" s="40" t="s">
        <v>20</v>
      </c>
      <c r="O23" s="42" t="s">
        <v>906</v>
      </c>
      <c r="P23" s="90" t="s">
        <v>907</v>
      </c>
      <c r="Q23" s="105"/>
      <c r="R23" s="42"/>
      <c r="S23" s="93"/>
      <c r="T23" s="39"/>
      <c r="U23" s="39"/>
    </row>
    <row r="24" spans="1:21" s="39" customFormat="1" ht="25.5" x14ac:dyDescent="0.25">
      <c r="A24" s="38"/>
      <c r="B24" s="38"/>
      <c r="C24" s="38"/>
      <c r="D24" s="38"/>
      <c r="E24" s="71" t="str">
        <f>F24&amp;TEXT(G24,"000")</f>
        <v>DT022</v>
      </c>
      <c r="F24" s="40" t="s">
        <v>103</v>
      </c>
      <c r="G24" s="41">
        <v>22</v>
      </c>
      <c r="H24" s="42" t="s">
        <v>121</v>
      </c>
      <c r="I24" s="43" t="s">
        <v>908</v>
      </c>
      <c r="J24" s="46">
        <v>2007</v>
      </c>
      <c r="K24" s="45" t="s">
        <v>905</v>
      </c>
      <c r="L24" s="42" t="s">
        <v>234</v>
      </c>
      <c r="M24" s="44" t="str">
        <f>VLOOKUP(F24,ListaValores!$C$2:$D$11,2,0)</f>
        <v>Desarrollo Territorial</v>
      </c>
      <c r="N24" s="40" t="s">
        <v>20</v>
      </c>
      <c r="O24" s="42" t="s">
        <v>909</v>
      </c>
      <c r="P24" s="90" t="s">
        <v>907</v>
      </c>
      <c r="Q24" s="105"/>
      <c r="R24" s="42"/>
      <c r="S24" s="93"/>
    </row>
    <row r="25" spans="1:21" x14ac:dyDescent="0.25">
      <c r="A25" s="38"/>
      <c r="B25" s="38"/>
      <c r="E25" s="71" t="str">
        <f>F25&amp;TEXT(G25,"000")</f>
        <v>DT025</v>
      </c>
      <c r="F25" s="40" t="s">
        <v>103</v>
      </c>
      <c r="G25" s="41">
        <v>25</v>
      </c>
      <c r="H25" s="42" t="s">
        <v>121</v>
      </c>
      <c r="I25" s="43" t="s">
        <v>498</v>
      </c>
      <c r="J25" s="44">
        <v>2009</v>
      </c>
      <c r="K25" s="45" t="s">
        <v>151</v>
      </c>
      <c r="L25" s="42" t="s">
        <v>234</v>
      </c>
      <c r="M25" s="42" t="str">
        <f>VLOOKUP(F25,ListaValores!$C$2:$D$11,2,0)</f>
        <v>Desarrollo Territorial</v>
      </c>
      <c r="N25" s="40" t="s">
        <v>4</v>
      </c>
      <c r="O25" s="78" t="s">
        <v>825</v>
      </c>
      <c r="P25" s="107" t="s">
        <v>923</v>
      </c>
      <c r="Q25" s="96" t="s">
        <v>821</v>
      </c>
      <c r="R25" s="42"/>
      <c r="S25" s="93" t="s">
        <v>660</v>
      </c>
      <c r="T25" s="39"/>
      <c r="U25" s="39"/>
    </row>
    <row r="26" spans="1:21" x14ac:dyDescent="0.25">
      <c r="A26" s="38"/>
      <c r="B26" s="38"/>
      <c r="E26" s="71" t="str">
        <f t="shared" si="0"/>
        <v>DT030</v>
      </c>
      <c r="F26" s="27" t="s">
        <v>103</v>
      </c>
      <c r="G26" s="28">
        <v>30</v>
      </c>
      <c r="H26" s="29" t="s">
        <v>121</v>
      </c>
      <c r="I26" s="30" t="s">
        <v>303</v>
      </c>
      <c r="J26" s="31">
        <v>2009</v>
      </c>
      <c r="K26" s="32" t="s">
        <v>151</v>
      </c>
      <c r="L26" s="29" t="s">
        <v>234</v>
      </c>
      <c r="M26" s="42" t="str">
        <f>VLOOKUP(F26,ListaValores!$C$2:$D$11,2,0)</f>
        <v>Desarrollo Territorial</v>
      </c>
      <c r="N26" s="27" t="s">
        <v>4</v>
      </c>
      <c r="O26" s="33" t="s">
        <v>824</v>
      </c>
      <c r="P26" s="42" t="s">
        <v>762</v>
      </c>
      <c r="Q26" s="96" t="s">
        <v>820</v>
      </c>
      <c r="R26" s="29"/>
      <c r="S26" s="93" t="s">
        <v>470</v>
      </c>
      <c r="T26" s="39"/>
      <c r="U26" s="39"/>
    </row>
    <row r="27" spans="1:21" s="39" customFormat="1" x14ac:dyDescent="0.25">
      <c r="A27" s="38"/>
      <c r="B27" s="38"/>
      <c r="C27" s="38"/>
      <c r="D27" s="38"/>
      <c r="E27" s="71" t="str">
        <f t="shared" ref="E27:E32" si="1">F27&amp;TEXT(G27,"000")</f>
        <v>DT031</v>
      </c>
      <c r="F27" s="40" t="s">
        <v>103</v>
      </c>
      <c r="G27" s="41">
        <v>31</v>
      </c>
      <c r="H27" s="42" t="s">
        <v>121</v>
      </c>
      <c r="I27" s="43" t="s">
        <v>910</v>
      </c>
      <c r="J27" s="44" t="s">
        <v>911</v>
      </c>
      <c r="K27" s="42" t="s">
        <v>234</v>
      </c>
      <c r="L27" s="42" t="s">
        <v>234</v>
      </c>
      <c r="M27" s="42" t="str">
        <f>VLOOKUP(F27,ListaValores!$C$2:$D$11,2,0)</f>
        <v>Desarrollo Territorial</v>
      </c>
      <c r="N27" s="40" t="s">
        <v>20</v>
      </c>
      <c r="O27" s="42" t="s">
        <v>912</v>
      </c>
      <c r="P27" s="90" t="s">
        <v>907</v>
      </c>
      <c r="Q27" s="96"/>
      <c r="R27" s="42"/>
      <c r="S27" s="93"/>
    </row>
    <row r="28" spans="1:21" s="39" customFormat="1" x14ac:dyDescent="0.25">
      <c r="A28" s="38"/>
      <c r="B28" s="38"/>
      <c r="C28" s="38"/>
      <c r="D28" s="38"/>
      <c r="E28" s="71" t="str">
        <f t="shared" si="1"/>
        <v>DT032</v>
      </c>
      <c r="F28" s="40" t="s">
        <v>103</v>
      </c>
      <c r="G28" s="41">
        <v>32</v>
      </c>
      <c r="H28" s="42" t="s">
        <v>121</v>
      </c>
      <c r="I28" s="43" t="s">
        <v>913</v>
      </c>
      <c r="J28" s="44" t="s">
        <v>911</v>
      </c>
      <c r="K28" s="42" t="s">
        <v>234</v>
      </c>
      <c r="L28" s="42" t="s">
        <v>234</v>
      </c>
      <c r="M28" s="42" t="str">
        <f>VLOOKUP(F28,ListaValores!$C$2:$D$11,2,0)</f>
        <v>Desarrollo Territorial</v>
      </c>
      <c r="N28" s="40" t="s">
        <v>20</v>
      </c>
      <c r="O28" s="42" t="s">
        <v>914</v>
      </c>
      <c r="P28" s="90" t="s">
        <v>907</v>
      </c>
      <c r="Q28" s="96"/>
      <c r="R28" s="42"/>
      <c r="S28" s="93"/>
    </row>
    <row r="29" spans="1:21" x14ac:dyDescent="0.25">
      <c r="A29" s="38"/>
      <c r="B29" s="38"/>
      <c r="E29" s="71" t="str">
        <f t="shared" si="1"/>
        <v>DT040</v>
      </c>
      <c r="F29" s="40" t="s">
        <v>103</v>
      </c>
      <c r="G29" s="41">
        <v>40</v>
      </c>
      <c r="H29" s="42" t="s">
        <v>121</v>
      </c>
      <c r="I29" s="73" t="s">
        <v>692</v>
      </c>
      <c r="J29" s="74">
        <v>2011</v>
      </c>
      <c r="K29" s="75" t="s">
        <v>26</v>
      </c>
      <c r="L29" s="72" t="s">
        <v>26</v>
      </c>
      <c r="M29" s="76" t="str">
        <f>VLOOKUP(F29,ListaValores!$C$2:$D$11,2,0)</f>
        <v>Desarrollo Territorial</v>
      </c>
      <c r="N29" s="40" t="s">
        <v>6</v>
      </c>
      <c r="O29" s="72" t="s">
        <v>693</v>
      </c>
      <c r="P29" s="90" t="s">
        <v>763</v>
      </c>
      <c r="Q29" s="96" t="s">
        <v>820</v>
      </c>
      <c r="R29" s="72"/>
      <c r="S29" s="93" t="s">
        <v>818</v>
      </c>
      <c r="T29" s="39"/>
      <c r="U29" s="39"/>
    </row>
    <row r="30" spans="1:21" ht="25.5" x14ac:dyDescent="0.25">
      <c r="A30" s="38"/>
      <c r="B30" s="38"/>
      <c r="E30" s="71" t="str">
        <f t="shared" si="1"/>
        <v>DT050</v>
      </c>
      <c r="F30" s="27" t="s">
        <v>103</v>
      </c>
      <c r="G30" s="28">
        <v>50</v>
      </c>
      <c r="H30" s="29" t="s">
        <v>121</v>
      </c>
      <c r="I30" s="30" t="s">
        <v>147</v>
      </c>
      <c r="J30" s="31">
        <v>2013</v>
      </c>
      <c r="K30" s="32" t="s">
        <v>242</v>
      </c>
      <c r="L30" s="29" t="s">
        <v>242</v>
      </c>
      <c r="M30" s="42" t="str">
        <f>VLOOKUP(F30,ListaValores!$C$2:$D$11,2,0)</f>
        <v>Desarrollo Territorial</v>
      </c>
      <c r="N30" s="27" t="s">
        <v>6</v>
      </c>
      <c r="O30" s="33" t="s">
        <v>658</v>
      </c>
      <c r="P30" s="107" t="s">
        <v>924</v>
      </c>
      <c r="Q30" s="96" t="s">
        <v>821</v>
      </c>
      <c r="R30" s="29"/>
      <c r="S30" s="93" t="s">
        <v>481</v>
      </c>
      <c r="T30" s="39"/>
      <c r="U30" s="39"/>
    </row>
    <row r="31" spans="1:21" x14ac:dyDescent="0.25">
      <c r="A31" s="38"/>
      <c r="B31" s="38"/>
      <c r="E31" s="71" t="str">
        <f t="shared" si="1"/>
        <v>DT055</v>
      </c>
      <c r="F31" s="27" t="s">
        <v>103</v>
      </c>
      <c r="G31" s="28">
        <v>55</v>
      </c>
      <c r="H31" s="29" t="s">
        <v>121</v>
      </c>
      <c r="I31" s="30" t="s">
        <v>146</v>
      </c>
      <c r="J31" s="31">
        <v>2014</v>
      </c>
      <c r="K31" s="32" t="s">
        <v>234</v>
      </c>
      <c r="L31" s="29" t="s">
        <v>234</v>
      </c>
      <c r="M31" s="42" t="str">
        <f>VLOOKUP(F31,ListaValores!$C$2:$D$11,2,0)</f>
        <v>Desarrollo Territorial</v>
      </c>
      <c r="N31" s="27" t="s">
        <v>4</v>
      </c>
      <c r="O31" s="33" t="s">
        <v>662</v>
      </c>
      <c r="P31" s="42" t="s">
        <v>763</v>
      </c>
      <c r="Q31" s="96" t="s">
        <v>820</v>
      </c>
      <c r="R31" s="29"/>
      <c r="S31" s="93" t="s">
        <v>482</v>
      </c>
      <c r="T31" s="39"/>
      <c r="U31" s="39"/>
    </row>
    <row r="32" spans="1:21" x14ac:dyDescent="0.25">
      <c r="A32" s="38"/>
      <c r="B32" s="38"/>
      <c r="E32" s="71" t="str">
        <f t="shared" si="1"/>
        <v>DT060</v>
      </c>
      <c r="F32" s="27" t="s">
        <v>103</v>
      </c>
      <c r="G32" s="28">
        <v>60</v>
      </c>
      <c r="H32" s="29" t="s">
        <v>121</v>
      </c>
      <c r="I32" s="30" t="s">
        <v>87</v>
      </c>
      <c r="J32" s="31">
        <v>2014</v>
      </c>
      <c r="K32" s="32" t="s">
        <v>234</v>
      </c>
      <c r="L32" s="29" t="s">
        <v>234</v>
      </c>
      <c r="M32" s="42" t="str">
        <f>VLOOKUP(F32,ListaValores!$C$2:$D$11,2,0)</f>
        <v>Desarrollo Territorial</v>
      </c>
      <c r="N32" s="27" t="s">
        <v>4</v>
      </c>
      <c r="O32" s="33" t="s">
        <v>684</v>
      </c>
      <c r="P32" s="42" t="s">
        <v>763</v>
      </c>
      <c r="Q32" s="96" t="s">
        <v>820</v>
      </c>
      <c r="R32" s="29"/>
      <c r="S32" s="93" t="s">
        <v>483</v>
      </c>
      <c r="T32" s="39"/>
      <c r="U32" s="39"/>
    </row>
    <row r="33" spans="1:21" ht="38.25" x14ac:dyDescent="0.25">
      <c r="A33" s="38"/>
      <c r="B33" s="38"/>
      <c r="E33" s="71" t="str">
        <f t="shared" si="0"/>
        <v>DT070</v>
      </c>
      <c r="F33" s="27" t="s">
        <v>103</v>
      </c>
      <c r="G33" s="28">
        <v>70</v>
      </c>
      <c r="H33" s="29" t="s">
        <v>121</v>
      </c>
      <c r="I33" s="30" t="s">
        <v>685</v>
      </c>
      <c r="J33" s="31">
        <v>2015</v>
      </c>
      <c r="K33" s="32" t="s">
        <v>234</v>
      </c>
      <c r="L33" s="29" t="s">
        <v>234</v>
      </c>
      <c r="M33" s="42" t="str">
        <f>VLOOKUP(F33,ListaValores!$C$2:$D$11,2,0)</f>
        <v>Desarrollo Territorial</v>
      </c>
      <c r="N33" s="27" t="s">
        <v>20</v>
      </c>
      <c r="O33" s="33" t="s">
        <v>686</v>
      </c>
      <c r="P33" s="107" t="s">
        <v>925</v>
      </c>
      <c r="Q33" s="96" t="s">
        <v>821</v>
      </c>
      <c r="R33" s="29"/>
      <c r="S33" s="93" t="s">
        <v>484</v>
      </c>
      <c r="T33" s="39"/>
      <c r="U33" s="39"/>
    </row>
    <row r="34" spans="1:21" x14ac:dyDescent="0.25">
      <c r="A34" s="38"/>
      <c r="B34" s="38"/>
      <c r="E34" s="71" t="str">
        <f>F34&amp;TEXT(G34,"000")</f>
        <v>DT075</v>
      </c>
      <c r="F34" s="40" t="s">
        <v>103</v>
      </c>
      <c r="G34" s="41">
        <v>75</v>
      </c>
      <c r="H34" s="42" t="s">
        <v>121</v>
      </c>
      <c r="I34" s="101" t="s">
        <v>900</v>
      </c>
      <c r="J34" s="102">
        <v>2015</v>
      </c>
      <c r="K34" s="103" t="s">
        <v>901</v>
      </c>
      <c r="L34" s="103" t="s">
        <v>901</v>
      </c>
      <c r="M34" s="106" t="str">
        <f>VLOOKUP(F34,ListaValores!$C$2:$D$11,2,0)</f>
        <v>Desarrollo Territorial</v>
      </c>
      <c r="N34" s="40" t="s">
        <v>4</v>
      </c>
      <c r="O34" s="42" t="s">
        <v>902</v>
      </c>
      <c r="P34" s="90" t="s">
        <v>903</v>
      </c>
      <c r="Q34" s="104"/>
      <c r="R34" s="100"/>
      <c r="S34" s="93"/>
      <c r="T34" s="39"/>
      <c r="U34" s="39"/>
    </row>
    <row r="35" spans="1:21" s="39" customFormat="1" x14ac:dyDescent="0.25">
      <c r="A35" s="38"/>
      <c r="B35" s="38"/>
      <c r="C35" s="38"/>
      <c r="D35" s="38"/>
      <c r="E35" s="71" t="str">
        <f t="shared" si="0"/>
        <v>DT080</v>
      </c>
      <c r="F35" s="27" t="s">
        <v>103</v>
      </c>
      <c r="G35" s="28">
        <v>80</v>
      </c>
      <c r="H35" s="29" t="s">
        <v>150</v>
      </c>
      <c r="I35" s="30" t="s">
        <v>86</v>
      </c>
      <c r="J35" s="31">
        <v>2016</v>
      </c>
      <c r="K35" s="32" t="s">
        <v>148</v>
      </c>
      <c r="L35" s="29" t="s">
        <v>149</v>
      </c>
      <c r="M35" s="42" t="str">
        <f>VLOOKUP(F35,ListaValores!$C$2:$D$11,2,0)</f>
        <v>Desarrollo Territorial</v>
      </c>
      <c r="N35" s="27" t="s">
        <v>4</v>
      </c>
      <c r="O35" s="33" t="s">
        <v>687</v>
      </c>
      <c r="P35" s="33" t="s">
        <v>688</v>
      </c>
      <c r="Q35" s="96" t="s">
        <v>820</v>
      </c>
      <c r="R35" s="29"/>
      <c r="S35" s="93" t="s">
        <v>359</v>
      </c>
    </row>
    <row r="36" spans="1:21" s="39" customFormat="1" x14ac:dyDescent="0.25">
      <c r="A36" s="38"/>
      <c r="B36" s="38"/>
      <c r="C36" s="38"/>
      <c r="D36" s="38"/>
      <c r="E36" s="71" t="str">
        <f t="shared" si="0"/>
        <v>DT085</v>
      </c>
      <c r="F36" s="40" t="s">
        <v>103</v>
      </c>
      <c r="G36" s="41">
        <v>85</v>
      </c>
      <c r="H36" s="42" t="s">
        <v>121</v>
      </c>
      <c r="I36" s="43" t="s">
        <v>915</v>
      </c>
      <c r="J36" s="44" t="s">
        <v>911</v>
      </c>
      <c r="K36" s="45" t="s">
        <v>916</v>
      </c>
      <c r="L36" s="45" t="s">
        <v>916</v>
      </c>
      <c r="M36" s="42" t="str">
        <f>VLOOKUP(F36,ListaValores!$C$2:$D$11,2,0)</f>
        <v>Desarrollo Territorial</v>
      </c>
      <c r="N36" s="40" t="s">
        <v>20</v>
      </c>
      <c r="O36" s="42" t="s">
        <v>846</v>
      </c>
      <c r="P36" s="90" t="s">
        <v>907</v>
      </c>
      <c r="Q36" s="96"/>
      <c r="R36" s="42"/>
      <c r="S36" s="93"/>
    </row>
    <row r="37" spans="1:21" s="39" customFormat="1" x14ac:dyDescent="0.25">
      <c r="A37" s="38"/>
      <c r="B37" s="38"/>
      <c r="C37" s="38"/>
      <c r="D37" s="38"/>
      <c r="E37" s="71" t="str">
        <f>F37&amp;TEXT(G37,"000")</f>
        <v>DT090</v>
      </c>
      <c r="F37" s="40" t="s">
        <v>103</v>
      </c>
      <c r="G37" s="41">
        <v>90</v>
      </c>
      <c r="H37" s="42" t="s">
        <v>121</v>
      </c>
      <c r="I37" s="43" t="s">
        <v>695</v>
      </c>
      <c r="J37" s="74"/>
      <c r="K37" s="79" t="s">
        <v>290</v>
      </c>
      <c r="L37" s="80" t="s">
        <v>290</v>
      </c>
      <c r="M37" s="76" t="str">
        <f>VLOOKUP(F37,ListaValores!$C$2:$D$11,2,0)</f>
        <v>Desarrollo Territorial</v>
      </c>
      <c r="N37" s="40" t="s">
        <v>20</v>
      </c>
      <c r="O37" s="33" t="s">
        <v>696</v>
      </c>
      <c r="P37" s="42" t="s">
        <v>764</v>
      </c>
      <c r="Q37" s="96" t="s">
        <v>820</v>
      </c>
      <c r="R37" s="72"/>
      <c r="S37" s="93" t="s">
        <v>817</v>
      </c>
    </row>
    <row r="38" spans="1:21" hidden="1" x14ac:dyDescent="0.25">
      <c r="A38" s="38"/>
      <c r="B38" s="38"/>
      <c r="E38" s="81" t="str">
        <f>F38&amp;TEXT(G38,"000")</f>
        <v>EH005</v>
      </c>
      <c r="F38" s="82" t="s">
        <v>23</v>
      </c>
      <c r="G38" s="83">
        <v>5</v>
      </c>
      <c r="H38" s="84" t="s">
        <v>123</v>
      </c>
      <c r="I38" s="85" t="s">
        <v>736</v>
      </c>
      <c r="J38" s="86">
        <v>1984</v>
      </c>
      <c r="K38" s="87" t="s">
        <v>738</v>
      </c>
      <c r="L38" s="87" t="s">
        <v>737</v>
      </c>
      <c r="M38" s="88" t="str">
        <f>VLOOKUP(F38,ListaValores!$C$2:$D$11,2,0)</f>
        <v>Estaciones Hidrométricas</v>
      </c>
      <c r="N38" s="82" t="s">
        <v>4</v>
      </c>
      <c r="O38" s="84" t="s">
        <v>739</v>
      </c>
      <c r="P38" s="84" t="s">
        <v>740</v>
      </c>
      <c r="Q38" s="96" t="s">
        <v>820</v>
      </c>
      <c r="R38" s="84"/>
      <c r="S38" s="40" t="s">
        <v>741</v>
      </c>
      <c r="T38" s="39"/>
      <c r="U38" s="39"/>
    </row>
    <row r="39" spans="1:21" s="39" customFormat="1" hidden="1" x14ac:dyDescent="0.25">
      <c r="A39" s="38"/>
      <c r="B39" s="38"/>
      <c r="D39"/>
      <c r="E39" s="81" t="str">
        <f>F39&amp;TEXT(G39,"000")</f>
        <v>EH006</v>
      </c>
      <c r="F39" s="82" t="s">
        <v>23</v>
      </c>
      <c r="G39" s="83">
        <v>6</v>
      </c>
      <c r="H39" s="42" t="s">
        <v>837</v>
      </c>
      <c r="I39" s="85" t="s">
        <v>742</v>
      </c>
      <c r="J39" s="86">
        <v>1987</v>
      </c>
      <c r="K39" s="87" t="s">
        <v>743</v>
      </c>
      <c r="L39" s="87" t="s">
        <v>737</v>
      </c>
      <c r="M39" s="88" t="str">
        <f>VLOOKUP(F39,ListaValores!$C$2:$D$11,2,0)</f>
        <v>Estaciones Hidrométricas</v>
      </c>
      <c r="N39" s="82" t="s">
        <v>4</v>
      </c>
      <c r="O39" s="84" t="s">
        <v>744</v>
      </c>
      <c r="P39" s="84" t="s">
        <v>745</v>
      </c>
      <c r="Q39" s="96" t="s">
        <v>820</v>
      </c>
      <c r="R39" s="84"/>
      <c r="S39" s="94" t="s">
        <v>741</v>
      </c>
    </row>
    <row r="40" spans="1:21" hidden="1" x14ac:dyDescent="0.25">
      <c r="A40" s="38"/>
      <c r="B40" s="38"/>
      <c r="E40" s="71" t="str">
        <f t="shared" si="0"/>
        <v>EH010</v>
      </c>
      <c r="F40" s="27" t="s">
        <v>23</v>
      </c>
      <c r="G40" s="28">
        <v>10</v>
      </c>
      <c r="H40" s="42" t="s">
        <v>837</v>
      </c>
      <c r="I40" s="30" t="s">
        <v>723</v>
      </c>
      <c r="J40" s="31">
        <v>2006</v>
      </c>
      <c r="K40" s="32" t="s">
        <v>158</v>
      </c>
      <c r="L40" s="29" t="s">
        <v>240</v>
      </c>
      <c r="M40" s="42" t="str">
        <f>VLOOKUP(F40,ListaValores!$C$2:$D$11,2,0)</f>
        <v>Estaciones Hidrométricas</v>
      </c>
      <c r="N40" s="27" t="s">
        <v>6</v>
      </c>
      <c r="O40" s="33" t="s">
        <v>724</v>
      </c>
      <c r="P40" s="107" t="s">
        <v>926</v>
      </c>
      <c r="Q40" s="96" t="s">
        <v>821</v>
      </c>
      <c r="R40" s="29"/>
      <c r="S40" s="93" t="s">
        <v>360</v>
      </c>
      <c r="T40" s="39"/>
      <c r="U40" s="39"/>
    </row>
    <row r="41" spans="1:21" s="39" customFormat="1" ht="25.5" hidden="1" x14ac:dyDescent="0.25">
      <c r="A41" s="38"/>
      <c r="B41" s="38"/>
      <c r="D41"/>
      <c r="E41" s="71" t="str">
        <f t="shared" si="0"/>
        <v>EH020</v>
      </c>
      <c r="F41" s="27" t="s">
        <v>23</v>
      </c>
      <c r="G41" s="28">
        <v>20</v>
      </c>
      <c r="H41" s="42" t="s">
        <v>837</v>
      </c>
      <c r="I41" s="30" t="s">
        <v>253</v>
      </c>
      <c r="J41" s="31">
        <v>2006</v>
      </c>
      <c r="K41" s="32" t="s">
        <v>158</v>
      </c>
      <c r="L41" s="29" t="s">
        <v>240</v>
      </c>
      <c r="M41" s="42" t="str">
        <f>VLOOKUP(F41,ListaValores!$C$2:$D$11,2,0)</f>
        <v>Estaciones Hidrométricas</v>
      </c>
      <c r="N41" s="27" t="s">
        <v>6</v>
      </c>
      <c r="O41" s="33" t="s">
        <v>689</v>
      </c>
      <c r="P41" s="42" t="s">
        <v>765</v>
      </c>
      <c r="Q41" s="96" t="s">
        <v>820</v>
      </c>
      <c r="R41" s="29"/>
      <c r="S41" s="93" t="s">
        <v>361</v>
      </c>
    </row>
    <row r="42" spans="1:21" s="39" customFormat="1" ht="25.5" hidden="1" x14ac:dyDescent="0.25">
      <c r="A42" s="38"/>
      <c r="B42" s="38"/>
      <c r="D42"/>
      <c r="E42" s="71" t="str">
        <f t="shared" si="0"/>
        <v>EH030</v>
      </c>
      <c r="F42" s="27" t="s">
        <v>23</v>
      </c>
      <c r="G42" s="28">
        <v>30</v>
      </c>
      <c r="H42" s="42" t="s">
        <v>837</v>
      </c>
      <c r="I42" s="30" t="s">
        <v>339</v>
      </c>
      <c r="J42" s="31">
        <v>2010</v>
      </c>
      <c r="K42" s="32" t="s">
        <v>34</v>
      </c>
      <c r="L42" s="29" t="s">
        <v>232</v>
      </c>
      <c r="M42" s="42" t="str">
        <f>VLOOKUP(F42,ListaValores!$C$2:$D$11,2,0)</f>
        <v>Estaciones Hidrométricas</v>
      </c>
      <c r="N42" s="27" t="s">
        <v>4</v>
      </c>
      <c r="O42" s="33" t="s">
        <v>690</v>
      </c>
      <c r="P42" s="42" t="s">
        <v>766</v>
      </c>
      <c r="Q42" s="96" t="s">
        <v>820</v>
      </c>
      <c r="R42" s="29">
        <v>223</v>
      </c>
      <c r="S42" s="93" t="s">
        <v>362</v>
      </c>
    </row>
    <row r="43" spans="1:21" s="39" customFormat="1" ht="25.5" hidden="1" x14ac:dyDescent="0.25">
      <c r="A43" s="38"/>
      <c r="B43" s="38"/>
      <c r="D43"/>
      <c r="E43" s="71" t="str">
        <f t="shared" si="0"/>
        <v>EH040</v>
      </c>
      <c r="F43" s="27" t="s">
        <v>23</v>
      </c>
      <c r="G43" s="28">
        <v>40</v>
      </c>
      <c r="H43" s="42" t="s">
        <v>837</v>
      </c>
      <c r="I43" s="30" t="s">
        <v>254</v>
      </c>
      <c r="J43" s="31">
        <v>2013</v>
      </c>
      <c r="K43" s="32" t="s">
        <v>9</v>
      </c>
      <c r="L43" s="29" t="s">
        <v>232</v>
      </c>
      <c r="M43" s="42" t="str">
        <f>VLOOKUP(F43,ListaValores!$C$2:$D$11,2,0)</f>
        <v>Estaciones Hidrométricas</v>
      </c>
      <c r="N43" s="27" t="s">
        <v>4</v>
      </c>
      <c r="O43" s="33" t="s">
        <v>691</v>
      </c>
      <c r="P43" s="42" t="s">
        <v>767</v>
      </c>
      <c r="Q43" s="96" t="s">
        <v>820</v>
      </c>
      <c r="R43" s="29"/>
      <c r="S43" s="93" t="s">
        <v>363</v>
      </c>
    </row>
    <row r="44" spans="1:21" ht="25.5" hidden="1" x14ac:dyDescent="0.25">
      <c r="A44" s="38"/>
      <c r="B44" s="38"/>
      <c r="E44" s="71" t="str">
        <f t="shared" si="0"/>
        <v>EX005</v>
      </c>
      <c r="F44" s="40" t="s">
        <v>99</v>
      </c>
      <c r="G44" s="41">
        <v>5</v>
      </c>
      <c r="H44" s="42" t="s">
        <v>837</v>
      </c>
      <c r="I44" s="36" t="s">
        <v>277</v>
      </c>
      <c r="J44" s="37">
        <v>1995</v>
      </c>
      <c r="K44" s="47" t="s">
        <v>278</v>
      </c>
      <c r="L44" s="42" t="s">
        <v>232</v>
      </c>
      <c r="M44" s="42" t="str">
        <f>VLOOKUP(F44,ListaValores!$C$2:$D$11,2,0)</f>
        <v>Eventos Extremos</v>
      </c>
      <c r="N44" s="40" t="s">
        <v>6</v>
      </c>
      <c r="O44" s="48" t="s">
        <v>663</v>
      </c>
      <c r="P44" s="107" t="s">
        <v>927</v>
      </c>
      <c r="Q44" s="96" t="s">
        <v>821</v>
      </c>
      <c r="R44" s="48"/>
      <c r="S44" s="93" t="s">
        <v>364</v>
      </c>
      <c r="T44" s="39"/>
      <c r="U44" s="39"/>
    </row>
    <row r="45" spans="1:21" hidden="1" x14ac:dyDescent="0.25">
      <c r="A45" s="38"/>
      <c r="B45" s="38"/>
      <c r="E45" s="71" t="str">
        <f t="shared" ref="E45:E75" si="2">F45&amp;TEXT(G45,"000")</f>
        <v>EX020</v>
      </c>
      <c r="F45" s="27" t="s">
        <v>99</v>
      </c>
      <c r="G45" s="28">
        <v>20</v>
      </c>
      <c r="H45" s="29" t="s">
        <v>121</v>
      </c>
      <c r="I45" s="30" t="s">
        <v>59</v>
      </c>
      <c r="J45" s="44">
        <v>2002</v>
      </c>
      <c r="K45" s="42" t="s">
        <v>18</v>
      </c>
      <c r="L45" s="42" t="s">
        <v>18</v>
      </c>
      <c r="M45" s="42" t="str">
        <f>VLOOKUP(F45,ListaValores!$C$2:$D$11,2,0)</f>
        <v>Eventos Extremos</v>
      </c>
      <c r="N45" s="27" t="s">
        <v>6</v>
      </c>
      <c r="O45" s="33" t="s">
        <v>664</v>
      </c>
      <c r="P45" s="42" t="s">
        <v>785</v>
      </c>
      <c r="Q45" s="96" t="s">
        <v>820</v>
      </c>
      <c r="R45" s="42"/>
      <c r="S45" s="93" t="s">
        <v>365</v>
      </c>
      <c r="T45" s="39"/>
      <c r="U45" s="39"/>
    </row>
    <row r="46" spans="1:21" ht="25.5" hidden="1" x14ac:dyDescent="0.25">
      <c r="A46" s="38"/>
      <c r="B46" s="38"/>
      <c r="E46" s="71" t="str">
        <f t="shared" si="2"/>
        <v>EX025</v>
      </c>
      <c r="F46" s="40" t="s">
        <v>99</v>
      </c>
      <c r="G46" s="41">
        <v>25</v>
      </c>
      <c r="H46" s="42" t="s">
        <v>837</v>
      </c>
      <c r="I46" s="43" t="s">
        <v>281</v>
      </c>
      <c r="J46" s="37">
        <v>2006</v>
      </c>
      <c r="K46" s="47" t="s">
        <v>282</v>
      </c>
      <c r="L46" s="48" t="s">
        <v>282</v>
      </c>
      <c r="M46" s="48" t="str">
        <f>VLOOKUP(F46,ListaValores!$C$2:$D$11,2,0)</f>
        <v>Eventos Extremos</v>
      </c>
      <c r="N46" s="40" t="s">
        <v>6</v>
      </c>
      <c r="O46" s="48" t="s">
        <v>665</v>
      </c>
      <c r="P46" s="42" t="s">
        <v>786</v>
      </c>
      <c r="Q46" s="96" t="s">
        <v>820</v>
      </c>
      <c r="R46" s="48"/>
      <c r="S46" s="93" t="s">
        <v>366</v>
      </c>
      <c r="T46" s="39"/>
      <c r="U46" s="39"/>
    </row>
    <row r="47" spans="1:21" ht="38.25" hidden="1" x14ac:dyDescent="0.25">
      <c r="A47" s="38"/>
      <c r="B47" s="38"/>
      <c r="E47" s="71" t="str">
        <f>F47&amp;TEXT(G47,"000")</f>
        <v>EX027</v>
      </c>
      <c r="F47" s="40" t="s">
        <v>99</v>
      </c>
      <c r="G47" s="41">
        <v>27</v>
      </c>
      <c r="H47" s="42" t="s">
        <v>837</v>
      </c>
      <c r="I47" s="73" t="s">
        <v>829</v>
      </c>
      <c r="J47" s="74">
        <v>2010</v>
      </c>
      <c r="K47" s="79" t="s">
        <v>290</v>
      </c>
      <c r="L47" s="80" t="s">
        <v>290</v>
      </c>
      <c r="M47" s="76" t="str">
        <f>VLOOKUP(F47,ListaValores!$C$2:$D$11,2,0)</f>
        <v>Eventos Extremos</v>
      </c>
      <c r="N47" s="40" t="s">
        <v>118</v>
      </c>
      <c r="O47" s="33" t="s">
        <v>697</v>
      </c>
      <c r="P47" s="90" t="s">
        <v>788</v>
      </c>
      <c r="Q47" s="96" t="s">
        <v>820</v>
      </c>
      <c r="R47" s="72"/>
      <c r="S47" s="93" t="s">
        <v>816</v>
      </c>
      <c r="T47" s="39"/>
      <c r="U47" s="39"/>
    </row>
    <row r="48" spans="1:21" ht="25.5" hidden="1" x14ac:dyDescent="0.25">
      <c r="A48" s="38"/>
      <c r="B48" s="38"/>
      <c r="E48" s="71" t="str">
        <f t="shared" si="2"/>
        <v>EX026</v>
      </c>
      <c r="F48" s="40" t="s">
        <v>99</v>
      </c>
      <c r="G48" s="41">
        <v>26</v>
      </c>
      <c r="H48" s="42" t="s">
        <v>122</v>
      </c>
      <c r="I48" s="43" t="s">
        <v>304</v>
      </c>
      <c r="J48" s="37">
        <v>2009</v>
      </c>
      <c r="K48" s="47" t="s">
        <v>305</v>
      </c>
      <c r="L48" s="48" t="s">
        <v>306</v>
      </c>
      <c r="M48" s="48" t="str">
        <f>VLOOKUP(F48,ListaValores!$C$2:$D$11,2,0)</f>
        <v>Eventos Extremos</v>
      </c>
      <c r="N48" s="40" t="s">
        <v>4</v>
      </c>
      <c r="O48" s="48" t="s">
        <v>822</v>
      </c>
      <c r="P48" s="42" t="s">
        <v>787</v>
      </c>
      <c r="Q48" s="96" t="s">
        <v>820</v>
      </c>
      <c r="R48" s="48"/>
      <c r="S48" s="93" t="s">
        <v>367</v>
      </c>
      <c r="T48" s="39"/>
      <c r="U48" s="39"/>
    </row>
    <row r="49" spans="1:21" ht="25.5" hidden="1" x14ac:dyDescent="0.25">
      <c r="A49" s="38"/>
      <c r="B49" s="38"/>
      <c r="E49" s="71" t="str">
        <f t="shared" si="2"/>
        <v>EX028</v>
      </c>
      <c r="F49" s="40" t="s">
        <v>99</v>
      </c>
      <c r="G49" s="41">
        <v>28</v>
      </c>
      <c r="H49" s="42" t="s">
        <v>837</v>
      </c>
      <c r="I49" s="43" t="s">
        <v>283</v>
      </c>
      <c r="J49" s="37">
        <v>2010</v>
      </c>
      <c r="K49" s="42" t="s">
        <v>284</v>
      </c>
      <c r="L49" s="42" t="s">
        <v>232</v>
      </c>
      <c r="M49" s="42" t="str">
        <f>VLOOKUP(F49,ListaValores!$C$2:$D$11,2,0)</f>
        <v>Eventos Extremos</v>
      </c>
      <c r="N49" s="40" t="s">
        <v>4</v>
      </c>
      <c r="O49" s="42" t="s">
        <v>285</v>
      </c>
      <c r="P49" s="42" t="s">
        <v>789</v>
      </c>
      <c r="Q49" s="96" t="s">
        <v>820</v>
      </c>
      <c r="R49" s="48"/>
      <c r="S49" s="93" t="s">
        <v>368</v>
      </c>
      <c r="T49" s="39"/>
      <c r="U49" s="39"/>
    </row>
    <row r="50" spans="1:21" hidden="1" x14ac:dyDescent="0.25">
      <c r="A50" s="38"/>
      <c r="B50" s="38"/>
      <c r="E50" s="71" t="str">
        <f t="shared" si="2"/>
        <v>EX029</v>
      </c>
      <c r="F50" s="27" t="s">
        <v>99</v>
      </c>
      <c r="G50" s="28">
        <v>29</v>
      </c>
      <c r="H50" s="42" t="s">
        <v>837</v>
      </c>
      <c r="I50" s="30" t="s">
        <v>311</v>
      </c>
      <c r="J50" s="31">
        <v>2010</v>
      </c>
      <c r="K50" s="32" t="s">
        <v>252</v>
      </c>
      <c r="L50" s="45" t="s">
        <v>252</v>
      </c>
      <c r="M50" s="45" t="str">
        <f>VLOOKUP(F50,ListaValores!$C$2:$D$11,2,0)</f>
        <v>Eventos Extremos</v>
      </c>
      <c r="N50" s="27" t="s">
        <v>6</v>
      </c>
      <c r="O50" s="48" t="s">
        <v>682</v>
      </c>
      <c r="P50" s="80" t="s">
        <v>928</v>
      </c>
      <c r="Q50" s="96" t="s">
        <v>821</v>
      </c>
      <c r="R50" s="29"/>
      <c r="S50" s="93" t="s">
        <v>485</v>
      </c>
      <c r="T50" s="39"/>
      <c r="U50" s="39"/>
    </row>
    <row r="51" spans="1:21" hidden="1" x14ac:dyDescent="0.25">
      <c r="A51" s="38"/>
      <c r="B51" s="38"/>
      <c r="E51" s="71" t="str">
        <f t="shared" si="2"/>
        <v>EX030</v>
      </c>
      <c r="F51" s="27" t="s">
        <v>99</v>
      </c>
      <c r="G51" s="28">
        <v>30</v>
      </c>
      <c r="H51" s="29" t="s">
        <v>121</v>
      </c>
      <c r="I51" s="30" t="s">
        <v>255</v>
      </c>
      <c r="J51" s="31">
        <v>2012</v>
      </c>
      <c r="K51" s="79" t="s">
        <v>290</v>
      </c>
      <c r="L51" s="42" t="s">
        <v>232</v>
      </c>
      <c r="M51" s="42" t="str">
        <f>VLOOKUP(F51,ListaValores!$C$2:$D$11,2,0)</f>
        <v>Eventos Extremos</v>
      </c>
      <c r="N51" s="27" t="s">
        <v>6</v>
      </c>
      <c r="O51" s="33" t="s">
        <v>666</v>
      </c>
      <c r="P51" s="42" t="s">
        <v>790</v>
      </c>
      <c r="Q51" s="96" t="s">
        <v>820</v>
      </c>
      <c r="R51" s="29"/>
      <c r="S51" s="93" t="s">
        <v>369</v>
      </c>
      <c r="T51" s="39"/>
      <c r="U51" s="39"/>
    </row>
    <row r="52" spans="1:21" hidden="1" x14ac:dyDescent="0.25">
      <c r="A52" s="38"/>
      <c r="B52" s="38"/>
      <c r="E52" s="71" t="str">
        <f t="shared" si="2"/>
        <v>EX033</v>
      </c>
      <c r="F52" s="27" t="s">
        <v>99</v>
      </c>
      <c r="G52" s="28">
        <v>33</v>
      </c>
      <c r="H52" s="29" t="s">
        <v>121</v>
      </c>
      <c r="I52" s="30" t="s">
        <v>264</v>
      </c>
      <c r="J52" s="31">
        <v>2012</v>
      </c>
      <c r="K52" s="42" t="s">
        <v>459</v>
      </c>
      <c r="L52" s="42" t="s">
        <v>459</v>
      </c>
      <c r="M52" s="42" t="str">
        <f>VLOOKUP(F52,ListaValores!$C$2:$D$11,2,0)</f>
        <v>Eventos Extremos</v>
      </c>
      <c r="N52" s="27" t="s">
        <v>20</v>
      </c>
      <c r="O52" s="48" t="s">
        <v>681</v>
      </c>
      <c r="P52" s="107" t="s">
        <v>929</v>
      </c>
      <c r="Q52" s="96" t="s">
        <v>821</v>
      </c>
      <c r="R52" s="29"/>
      <c r="S52" s="93" t="s">
        <v>471</v>
      </c>
      <c r="T52" s="39"/>
      <c r="U52" s="39"/>
    </row>
    <row r="53" spans="1:21" ht="25.5" hidden="1" x14ac:dyDescent="0.25">
      <c r="A53" s="38"/>
      <c r="B53" s="38"/>
      <c r="E53" s="71" t="str">
        <f t="shared" si="2"/>
        <v>EX035</v>
      </c>
      <c r="F53" s="27" t="s">
        <v>99</v>
      </c>
      <c r="G53" s="28">
        <v>35</v>
      </c>
      <c r="H53" s="29" t="s">
        <v>122</v>
      </c>
      <c r="I53" s="30" t="s">
        <v>256</v>
      </c>
      <c r="J53" s="31">
        <v>2013</v>
      </c>
      <c r="K53" s="45" t="s">
        <v>257</v>
      </c>
      <c r="L53" s="45" t="s">
        <v>21</v>
      </c>
      <c r="M53" s="45" t="str">
        <f>VLOOKUP(F53,ListaValores!$C$2:$D$11,2,0)</f>
        <v>Eventos Extremos</v>
      </c>
      <c r="N53" s="27" t="s">
        <v>6</v>
      </c>
      <c r="O53" s="33" t="s">
        <v>667</v>
      </c>
      <c r="P53" s="42" t="s">
        <v>791</v>
      </c>
      <c r="Q53" s="96" t="s">
        <v>820</v>
      </c>
      <c r="R53" s="29"/>
      <c r="S53" s="93" t="s">
        <v>370</v>
      </c>
      <c r="T53" s="39"/>
      <c r="U53" s="39"/>
    </row>
    <row r="54" spans="1:21" hidden="1" x14ac:dyDescent="0.25">
      <c r="A54" s="38"/>
      <c r="B54" s="38"/>
      <c r="E54" s="71" t="str">
        <f t="shared" si="2"/>
        <v>EX040</v>
      </c>
      <c r="F54" s="27" t="s">
        <v>99</v>
      </c>
      <c r="G54" s="28">
        <v>40</v>
      </c>
      <c r="H54" s="29" t="s">
        <v>121</v>
      </c>
      <c r="I54" s="30" t="s">
        <v>258</v>
      </c>
      <c r="J54" s="31">
        <v>2014</v>
      </c>
      <c r="K54" s="79" t="s">
        <v>290</v>
      </c>
      <c r="L54" s="29" t="s">
        <v>259</v>
      </c>
      <c r="M54" s="42" t="str">
        <f>VLOOKUP(F54,ListaValores!$C$2:$D$11,2,0)</f>
        <v>Eventos Extremos</v>
      </c>
      <c r="N54" s="27" t="s">
        <v>19</v>
      </c>
      <c r="O54" s="33" t="s">
        <v>668</v>
      </c>
      <c r="P54" s="42" t="s">
        <v>792</v>
      </c>
      <c r="Q54" s="96" t="s">
        <v>820</v>
      </c>
      <c r="R54" s="29"/>
      <c r="S54" s="93" t="s">
        <v>371</v>
      </c>
      <c r="T54" s="39"/>
      <c r="U54" s="39"/>
    </row>
    <row r="55" spans="1:21" hidden="1" x14ac:dyDescent="0.25">
      <c r="A55" s="6"/>
      <c r="B55" s="6"/>
      <c r="E55" s="71" t="str">
        <f t="shared" si="2"/>
        <v>EX050</v>
      </c>
      <c r="F55" s="27" t="s">
        <v>99</v>
      </c>
      <c r="G55" s="28">
        <v>50</v>
      </c>
      <c r="H55" s="29" t="s">
        <v>121</v>
      </c>
      <c r="I55" s="30" t="s">
        <v>260</v>
      </c>
      <c r="J55" s="31">
        <v>2014</v>
      </c>
      <c r="K55" s="79" t="s">
        <v>290</v>
      </c>
      <c r="L55" s="29" t="s">
        <v>11</v>
      </c>
      <c r="M55" s="42" t="str">
        <f>VLOOKUP(F55,ListaValores!$C$2:$D$11,2,0)</f>
        <v>Eventos Extremos</v>
      </c>
      <c r="N55" s="27" t="s">
        <v>6</v>
      </c>
      <c r="O55" s="33" t="s">
        <v>669</v>
      </c>
      <c r="P55" s="42" t="s">
        <v>793</v>
      </c>
      <c r="Q55" s="96" t="s">
        <v>820</v>
      </c>
      <c r="R55" s="29"/>
      <c r="S55" s="93" t="s">
        <v>372</v>
      </c>
      <c r="T55" s="39"/>
      <c r="U55" s="39"/>
    </row>
    <row r="56" spans="1:21" hidden="1" x14ac:dyDescent="0.25">
      <c r="A56" s="38"/>
      <c r="B56" s="38"/>
      <c r="E56" s="71" t="str">
        <f t="shared" si="2"/>
        <v>EX060</v>
      </c>
      <c r="F56" s="27" t="s">
        <v>99</v>
      </c>
      <c r="G56" s="28">
        <v>60</v>
      </c>
      <c r="H56" s="29" t="s">
        <v>121</v>
      </c>
      <c r="I56" s="30" t="s">
        <v>261</v>
      </c>
      <c r="J56" s="31">
        <v>2014</v>
      </c>
      <c r="K56" s="42" t="s">
        <v>28</v>
      </c>
      <c r="L56" s="29" t="s">
        <v>26</v>
      </c>
      <c r="M56" s="42" t="str">
        <f>VLOOKUP(F56,ListaValores!$C$2:$D$11,2,0)</f>
        <v>Eventos Extremos</v>
      </c>
      <c r="N56" s="27" t="s">
        <v>6</v>
      </c>
      <c r="O56" s="33" t="s">
        <v>670</v>
      </c>
      <c r="P56" s="80" t="s">
        <v>930</v>
      </c>
      <c r="Q56" s="96" t="s">
        <v>821</v>
      </c>
      <c r="R56" s="29"/>
      <c r="S56" s="93" t="s">
        <v>373</v>
      </c>
      <c r="T56" s="39"/>
      <c r="U56" s="39"/>
    </row>
    <row r="57" spans="1:21" hidden="1" x14ac:dyDescent="0.25">
      <c r="A57" s="38"/>
      <c r="B57" s="38"/>
      <c r="E57" s="71" t="str">
        <f t="shared" si="2"/>
        <v>EX065</v>
      </c>
      <c r="F57" s="27" t="s">
        <v>99</v>
      </c>
      <c r="G57" s="28">
        <v>65</v>
      </c>
      <c r="H57" s="29" t="s">
        <v>121</v>
      </c>
      <c r="I57" s="30" t="s">
        <v>266</v>
      </c>
      <c r="J57" s="31">
        <v>2014</v>
      </c>
      <c r="K57" s="42" t="s">
        <v>460</v>
      </c>
      <c r="L57" s="29" t="s">
        <v>460</v>
      </c>
      <c r="M57" s="42" t="str">
        <f>VLOOKUP(F57,ListaValores!$C$2:$D$11,2,0)</f>
        <v>Eventos Extremos</v>
      </c>
      <c r="N57" s="27" t="s">
        <v>20</v>
      </c>
      <c r="O57" s="33" t="s">
        <v>683</v>
      </c>
      <c r="P57" s="107" t="s">
        <v>929</v>
      </c>
      <c r="Q57" s="96" t="s">
        <v>821</v>
      </c>
      <c r="R57" s="29"/>
      <c r="S57" s="93" t="s">
        <v>486</v>
      </c>
      <c r="T57" s="39"/>
      <c r="U57" s="39"/>
    </row>
    <row r="58" spans="1:21" hidden="1" x14ac:dyDescent="0.25">
      <c r="A58" s="38"/>
      <c r="B58" s="38"/>
      <c r="E58" s="71" t="str">
        <f t="shared" si="2"/>
        <v>EX070</v>
      </c>
      <c r="F58" s="27" t="s">
        <v>99</v>
      </c>
      <c r="G58" s="28">
        <v>70</v>
      </c>
      <c r="H58" s="29" t="s">
        <v>121</v>
      </c>
      <c r="I58" s="30" t="s">
        <v>262</v>
      </c>
      <c r="J58" s="31">
        <v>2015</v>
      </c>
      <c r="K58" s="79" t="s">
        <v>290</v>
      </c>
      <c r="L58" s="29" t="s">
        <v>18</v>
      </c>
      <c r="M58" s="42" t="str">
        <f>VLOOKUP(F58,ListaValores!$C$2:$D$11,2,0)</f>
        <v>Eventos Extremos</v>
      </c>
      <c r="N58" s="27" t="s">
        <v>4</v>
      </c>
      <c r="O58" s="33" t="s">
        <v>671</v>
      </c>
      <c r="P58" s="42" t="s">
        <v>794</v>
      </c>
      <c r="Q58" s="96" t="s">
        <v>820</v>
      </c>
      <c r="R58" s="29"/>
      <c r="S58" s="93" t="s">
        <v>374</v>
      </c>
      <c r="T58" s="39"/>
      <c r="U58" s="39"/>
    </row>
    <row r="59" spans="1:21" hidden="1" x14ac:dyDescent="0.25">
      <c r="A59" s="38"/>
      <c r="B59" s="38"/>
      <c r="E59" s="71" t="str">
        <f t="shared" si="2"/>
        <v>EX080</v>
      </c>
      <c r="F59" s="27" t="s">
        <v>99</v>
      </c>
      <c r="G59" s="28">
        <v>80</v>
      </c>
      <c r="H59" s="29" t="s">
        <v>121</v>
      </c>
      <c r="I59" s="30" t="s">
        <v>60</v>
      </c>
      <c r="J59" s="31">
        <v>2015</v>
      </c>
      <c r="K59" s="79" t="s">
        <v>290</v>
      </c>
      <c r="L59" s="29" t="s">
        <v>238</v>
      </c>
      <c r="M59" s="42" t="str">
        <f>VLOOKUP(F59,ListaValores!$C$2:$D$11,2,0)</f>
        <v>Eventos Extremos</v>
      </c>
      <c r="N59" s="27" t="s">
        <v>19</v>
      </c>
      <c r="O59" s="33" t="s">
        <v>672</v>
      </c>
      <c r="P59" s="42" t="s">
        <v>795</v>
      </c>
      <c r="Q59" s="96" t="s">
        <v>820</v>
      </c>
      <c r="R59" s="29"/>
      <c r="S59" s="93" t="s">
        <v>375</v>
      </c>
      <c r="T59" s="39"/>
      <c r="U59" s="39"/>
    </row>
    <row r="60" spans="1:21" hidden="1" x14ac:dyDescent="0.25">
      <c r="A60" s="38"/>
      <c r="B60" s="38"/>
      <c r="E60" s="71" t="str">
        <f t="shared" si="2"/>
        <v>EX090</v>
      </c>
      <c r="F60" s="27" t="s">
        <v>99</v>
      </c>
      <c r="G60" s="28">
        <v>90</v>
      </c>
      <c r="H60" s="29" t="s">
        <v>121</v>
      </c>
      <c r="I60" s="30" t="s">
        <v>61</v>
      </c>
      <c r="J60" s="31">
        <v>2015</v>
      </c>
      <c r="K60" s="79" t="s">
        <v>290</v>
      </c>
      <c r="L60" s="29" t="s">
        <v>238</v>
      </c>
      <c r="M60" s="42" t="str">
        <f>VLOOKUP(F60,ListaValores!$C$2:$D$11,2,0)</f>
        <v>Eventos Extremos</v>
      </c>
      <c r="N60" s="27" t="s">
        <v>19</v>
      </c>
      <c r="O60" s="33" t="s">
        <v>673</v>
      </c>
      <c r="P60" s="42" t="s">
        <v>796</v>
      </c>
      <c r="Q60" s="96" t="s">
        <v>820</v>
      </c>
      <c r="R60" s="29"/>
      <c r="S60" s="93" t="s">
        <v>376</v>
      </c>
      <c r="T60" s="39"/>
      <c r="U60" s="39"/>
    </row>
    <row r="61" spans="1:21" hidden="1" x14ac:dyDescent="0.25">
      <c r="A61" s="38"/>
      <c r="B61" s="38"/>
      <c r="E61" s="71" t="str">
        <f t="shared" si="2"/>
        <v>EX100</v>
      </c>
      <c r="F61" s="27" t="s">
        <v>99</v>
      </c>
      <c r="G61" s="28">
        <v>100</v>
      </c>
      <c r="H61" s="29" t="s">
        <v>121</v>
      </c>
      <c r="I61" s="30" t="s">
        <v>62</v>
      </c>
      <c r="J61" s="31">
        <v>2015</v>
      </c>
      <c r="K61" s="79" t="s">
        <v>290</v>
      </c>
      <c r="L61" s="29" t="s">
        <v>238</v>
      </c>
      <c r="M61" s="42" t="str">
        <f>VLOOKUP(F61,ListaValores!$C$2:$D$11,2,0)</f>
        <v>Eventos Extremos</v>
      </c>
      <c r="N61" s="27" t="s">
        <v>19</v>
      </c>
      <c r="O61" s="33" t="s">
        <v>674</v>
      </c>
      <c r="P61" s="42" t="s">
        <v>797</v>
      </c>
      <c r="Q61" s="96" t="s">
        <v>820</v>
      </c>
      <c r="R61" s="29"/>
      <c r="S61" s="40" t="s">
        <v>494</v>
      </c>
      <c r="T61" s="39"/>
      <c r="U61" s="39"/>
    </row>
    <row r="62" spans="1:21" hidden="1" x14ac:dyDescent="0.25">
      <c r="A62" s="38"/>
      <c r="B62" s="38"/>
      <c r="E62" s="71" t="str">
        <f t="shared" si="2"/>
        <v>EX113</v>
      </c>
      <c r="F62" s="27" t="s">
        <v>99</v>
      </c>
      <c r="G62" s="28">
        <v>113</v>
      </c>
      <c r="H62" s="29" t="s">
        <v>121</v>
      </c>
      <c r="I62" s="30" t="s">
        <v>263</v>
      </c>
      <c r="J62" s="31">
        <v>2015</v>
      </c>
      <c r="K62" s="42" t="s">
        <v>461</v>
      </c>
      <c r="L62" s="42" t="s">
        <v>461</v>
      </c>
      <c r="M62" s="42" t="str">
        <f>VLOOKUP(F62,ListaValores!$C$2:$D$11,2,0)</f>
        <v>Eventos Extremos</v>
      </c>
      <c r="N62" s="27" t="s">
        <v>20</v>
      </c>
      <c r="O62" s="33" t="s">
        <v>675</v>
      </c>
      <c r="P62" s="107" t="s">
        <v>929</v>
      </c>
      <c r="Q62" s="96" t="s">
        <v>821</v>
      </c>
      <c r="R62" s="29"/>
      <c r="S62" s="93" t="s">
        <v>377</v>
      </c>
      <c r="T62" s="39"/>
      <c r="U62" s="39"/>
    </row>
    <row r="63" spans="1:21" hidden="1" x14ac:dyDescent="0.25">
      <c r="A63" s="38"/>
      <c r="B63" s="38"/>
      <c r="E63" s="71" t="str">
        <f t="shared" si="2"/>
        <v>EX114</v>
      </c>
      <c r="F63" s="27" t="s">
        <v>99</v>
      </c>
      <c r="G63" s="28">
        <v>114</v>
      </c>
      <c r="H63" s="29" t="s">
        <v>121</v>
      </c>
      <c r="I63" s="30" t="s">
        <v>265</v>
      </c>
      <c r="J63" s="31">
        <v>2015</v>
      </c>
      <c r="K63" s="42" t="s">
        <v>462</v>
      </c>
      <c r="L63" s="29" t="s">
        <v>462</v>
      </c>
      <c r="M63" s="42" t="str">
        <f>VLOOKUP(F63,ListaValores!$C$2:$D$11,2,0)</f>
        <v>Eventos Extremos</v>
      </c>
      <c r="N63" s="27" t="s">
        <v>20</v>
      </c>
      <c r="O63" s="33" t="s">
        <v>676</v>
      </c>
      <c r="P63" s="107" t="s">
        <v>929</v>
      </c>
      <c r="Q63" s="96" t="s">
        <v>821</v>
      </c>
      <c r="R63" s="29"/>
      <c r="S63" s="93" t="s">
        <v>378</v>
      </c>
      <c r="T63" s="39"/>
      <c r="U63" s="39"/>
    </row>
    <row r="64" spans="1:21" hidden="1" x14ac:dyDescent="0.25">
      <c r="A64" s="38"/>
      <c r="B64" s="38"/>
      <c r="E64" s="71" t="str">
        <f t="shared" si="2"/>
        <v>EX115</v>
      </c>
      <c r="F64" s="27" t="s">
        <v>99</v>
      </c>
      <c r="G64" s="28">
        <v>115</v>
      </c>
      <c r="H64" s="29" t="s">
        <v>121</v>
      </c>
      <c r="I64" s="30" t="s">
        <v>267</v>
      </c>
      <c r="J64" s="31">
        <v>2015</v>
      </c>
      <c r="K64" s="42" t="s">
        <v>463</v>
      </c>
      <c r="L64" s="29" t="s">
        <v>463</v>
      </c>
      <c r="M64" s="42" t="str">
        <f>VLOOKUP(F64,ListaValores!$C$2:$D$11,2,0)</f>
        <v>Eventos Extremos</v>
      </c>
      <c r="N64" s="27" t="s">
        <v>20</v>
      </c>
      <c r="O64" s="33" t="s">
        <v>677</v>
      </c>
      <c r="P64" s="107" t="s">
        <v>929</v>
      </c>
      <c r="Q64" s="96" t="s">
        <v>821</v>
      </c>
      <c r="R64" s="29"/>
      <c r="S64" s="93" t="s">
        <v>379</v>
      </c>
      <c r="T64" s="39"/>
      <c r="U64" s="39"/>
    </row>
    <row r="65" spans="1:21" hidden="1" x14ac:dyDescent="0.25">
      <c r="A65" s="38"/>
      <c r="B65" s="38"/>
      <c r="E65" s="71" t="str">
        <f t="shared" si="2"/>
        <v>EX116</v>
      </c>
      <c r="F65" s="27" t="s">
        <v>99</v>
      </c>
      <c r="G65" s="28">
        <v>116</v>
      </c>
      <c r="H65" s="29" t="s">
        <v>121</v>
      </c>
      <c r="I65" s="30" t="s">
        <v>268</v>
      </c>
      <c r="J65" s="31">
        <v>2015</v>
      </c>
      <c r="K65" s="42" t="s">
        <v>464</v>
      </c>
      <c r="L65" s="29" t="s">
        <v>464</v>
      </c>
      <c r="M65" s="42" t="str">
        <f>VLOOKUP(F65,ListaValores!$C$2:$D$11,2,0)</f>
        <v>Eventos Extremos</v>
      </c>
      <c r="N65" s="27" t="s">
        <v>20</v>
      </c>
      <c r="O65" s="33" t="s">
        <v>678</v>
      </c>
      <c r="P65" s="107" t="s">
        <v>929</v>
      </c>
      <c r="Q65" s="96" t="s">
        <v>821</v>
      </c>
      <c r="R65" s="29"/>
      <c r="S65" s="93" t="s">
        <v>380</v>
      </c>
      <c r="T65" s="39"/>
      <c r="U65" s="39"/>
    </row>
    <row r="66" spans="1:21" hidden="1" x14ac:dyDescent="0.25">
      <c r="A66" s="38"/>
      <c r="B66" s="38"/>
      <c r="E66" s="71" t="str">
        <f t="shared" si="2"/>
        <v>EX117</v>
      </c>
      <c r="F66" s="27" t="s">
        <v>99</v>
      </c>
      <c r="G66" s="28">
        <v>117</v>
      </c>
      <c r="H66" s="29" t="s">
        <v>121</v>
      </c>
      <c r="I66" s="30" t="s">
        <v>269</v>
      </c>
      <c r="J66" s="31">
        <v>2015</v>
      </c>
      <c r="K66" s="42" t="s">
        <v>465</v>
      </c>
      <c r="L66" s="29" t="s">
        <v>465</v>
      </c>
      <c r="M66" s="42" t="str">
        <f>VLOOKUP(F66,ListaValores!$C$2:$D$11,2,0)</f>
        <v>Eventos Extremos</v>
      </c>
      <c r="N66" s="27" t="s">
        <v>20</v>
      </c>
      <c r="O66" s="33" t="s">
        <v>679</v>
      </c>
      <c r="P66" s="107" t="s">
        <v>929</v>
      </c>
      <c r="Q66" s="96" t="s">
        <v>821</v>
      </c>
      <c r="R66" s="29"/>
      <c r="S66" s="93" t="s">
        <v>381</v>
      </c>
      <c r="T66" s="39"/>
      <c r="U66" s="39"/>
    </row>
    <row r="67" spans="1:21" hidden="1" x14ac:dyDescent="0.25">
      <c r="A67" s="38"/>
      <c r="B67" s="38"/>
      <c r="E67" s="71" t="str">
        <f t="shared" si="2"/>
        <v>EX120</v>
      </c>
      <c r="F67" s="27" t="s">
        <v>99</v>
      </c>
      <c r="G67" s="28">
        <v>120</v>
      </c>
      <c r="H67" s="29" t="s">
        <v>121</v>
      </c>
      <c r="I67" s="30" t="s">
        <v>251</v>
      </c>
      <c r="J67" s="31">
        <v>2015</v>
      </c>
      <c r="K67" s="79" t="s">
        <v>290</v>
      </c>
      <c r="L67" s="42" t="s">
        <v>18</v>
      </c>
      <c r="M67" s="42" t="str">
        <f>VLOOKUP(F67,ListaValores!$C$2:$D$11,2,0)</f>
        <v>Eventos Extremos</v>
      </c>
      <c r="N67" s="27" t="s">
        <v>4</v>
      </c>
      <c r="O67" s="33" t="s">
        <v>680</v>
      </c>
      <c r="P67" s="42" t="s">
        <v>798</v>
      </c>
      <c r="Q67" s="96" t="s">
        <v>820</v>
      </c>
      <c r="R67" s="29"/>
      <c r="S67" s="93" t="s">
        <v>382</v>
      </c>
      <c r="T67" s="39"/>
      <c r="U67" s="39"/>
    </row>
    <row r="68" spans="1:21" hidden="1" x14ac:dyDescent="0.25">
      <c r="A68" s="38"/>
      <c r="B68" s="38"/>
      <c r="E68" s="71" t="str">
        <f t="shared" si="2"/>
        <v>IH010</v>
      </c>
      <c r="F68" s="27" t="s">
        <v>98</v>
      </c>
      <c r="G68" s="28">
        <v>10</v>
      </c>
      <c r="H68" s="29" t="s">
        <v>231</v>
      </c>
      <c r="I68" s="30" t="s">
        <v>230</v>
      </c>
      <c r="J68" s="31">
        <v>1991</v>
      </c>
      <c r="K68" s="45" t="s">
        <v>159</v>
      </c>
      <c r="L68" s="29" t="s">
        <v>157</v>
      </c>
      <c r="M68" s="42" t="str">
        <f>VLOOKUP(F68,ListaValores!$C$2:$D$11,2,0)</f>
        <v>Infraestructura Hidráulica</v>
      </c>
      <c r="N68" s="40" t="s">
        <v>118</v>
      </c>
      <c r="O68" s="33" t="s">
        <v>698</v>
      </c>
      <c r="P68" s="80" t="s">
        <v>931</v>
      </c>
      <c r="Q68" s="96" t="s">
        <v>821</v>
      </c>
      <c r="R68" s="29"/>
      <c r="S68" s="93" t="s">
        <v>472</v>
      </c>
      <c r="T68" s="39"/>
      <c r="U68" s="39"/>
    </row>
    <row r="69" spans="1:21" ht="25.5" hidden="1" x14ac:dyDescent="0.25">
      <c r="A69" s="38"/>
      <c r="B69" s="38"/>
      <c r="E69" s="71" t="str">
        <f t="shared" si="2"/>
        <v>IH020</v>
      </c>
      <c r="F69" s="27" t="s">
        <v>98</v>
      </c>
      <c r="G69" s="28">
        <v>20</v>
      </c>
      <c r="H69" s="29" t="s">
        <v>123</v>
      </c>
      <c r="I69" s="30" t="s">
        <v>160</v>
      </c>
      <c r="J69" s="31">
        <v>1991</v>
      </c>
      <c r="K69" s="32" t="s">
        <v>10</v>
      </c>
      <c r="L69" s="29" t="s">
        <v>232</v>
      </c>
      <c r="M69" s="42" t="str">
        <f>VLOOKUP(F69,ListaValores!$C$2:$D$11,2,0)</f>
        <v>Infraestructura Hidráulica</v>
      </c>
      <c r="N69" s="27" t="s">
        <v>4</v>
      </c>
      <c r="O69" s="33" t="s">
        <v>699</v>
      </c>
      <c r="P69" s="80" t="s">
        <v>933</v>
      </c>
      <c r="Q69" s="96" t="s">
        <v>821</v>
      </c>
      <c r="R69" s="29" t="s">
        <v>161</v>
      </c>
      <c r="S69" s="93" t="s">
        <v>383</v>
      </c>
      <c r="T69" s="39"/>
      <c r="U69" s="39"/>
    </row>
    <row r="70" spans="1:21" ht="25.5" hidden="1" x14ac:dyDescent="0.25">
      <c r="A70" s="38"/>
      <c r="B70" s="38"/>
      <c r="E70" s="71" t="str">
        <f t="shared" si="2"/>
        <v>IH030</v>
      </c>
      <c r="F70" s="40" t="s">
        <v>98</v>
      </c>
      <c r="G70" s="41">
        <v>30</v>
      </c>
      <c r="H70" s="42" t="s">
        <v>123</v>
      </c>
      <c r="I70" s="43" t="s">
        <v>270</v>
      </c>
      <c r="J70" s="44">
        <v>1996</v>
      </c>
      <c r="K70" s="45" t="s">
        <v>271</v>
      </c>
      <c r="L70" s="42" t="s">
        <v>232</v>
      </c>
      <c r="M70" s="42" t="str">
        <f>VLOOKUP(F70,ListaValores!$C$2:$D$11,2,0)</f>
        <v>Infraestructura Hidráulica</v>
      </c>
      <c r="N70" s="40" t="s">
        <v>4</v>
      </c>
      <c r="O70" s="33" t="s">
        <v>700</v>
      </c>
      <c r="P70" s="80" t="s">
        <v>934</v>
      </c>
      <c r="Q70" s="96" t="s">
        <v>821</v>
      </c>
      <c r="R70" s="42" t="s">
        <v>162</v>
      </c>
      <c r="S70" s="93" t="s">
        <v>384</v>
      </c>
      <c r="T70" s="39"/>
      <c r="U70" s="39"/>
    </row>
    <row r="71" spans="1:21" ht="25.5" hidden="1" x14ac:dyDescent="0.25">
      <c r="A71" s="38"/>
      <c r="B71" s="38"/>
      <c r="E71" s="71" t="str">
        <f t="shared" si="2"/>
        <v>IH035</v>
      </c>
      <c r="F71" s="40" t="s">
        <v>98</v>
      </c>
      <c r="G71" s="41">
        <v>35</v>
      </c>
      <c r="H71" s="42" t="s">
        <v>231</v>
      </c>
      <c r="I71" s="43" t="s">
        <v>79</v>
      </c>
      <c r="J71" s="44">
        <v>1999</v>
      </c>
      <c r="K71" s="45" t="s">
        <v>271</v>
      </c>
      <c r="L71" s="42" t="s">
        <v>236</v>
      </c>
      <c r="M71" s="42" t="str">
        <f>VLOOKUP(F71,ListaValores!$C$2:$D$11,2,0)</f>
        <v>Infraestructura Hidráulica</v>
      </c>
      <c r="N71" s="40" t="s">
        <v>20</v>
      </c>
      <c r="O71" s="33" t="s">
        <v>324</v>
      </c>
      <c r="P71" s="80" t="s">
        <v>935</v>
      </c>
      <c r="Q71" s="96" t="s">
        <v>821</v>
      </c>
      <c r="R71" s="42"/>
      <c r="S71" s="93" t="s">
        <v>385</v>
      </c>
      <c r="T71" s="39"/>
      <c r="U71" s="39"/>
    </row>
    <row r="72" spans="1:21" hidden="1" x14ac:dyDescent="0.25">
      <c r="A72" s="38"/>
      <c r="B72" s="38"/>
      <c r="E72" s="71" t="str">
        <f t="shared" si="2"/>
        <v>IH040</v>
      </c>
      <c r="F72" s="40" t="s">
        <v>98</v>
      </c>
      <c r="G72" s="41">
        <v>40</v>
      </c>
      <c r="H72" s="42" t="s">
        <v>123</v>
      </c>
      <c r="I72" s="43" t="s">
        <v>163</v>
      </c>
      <c r="J72" s="44">
        <v>2000</v>
      </c>
      <c r="K72" s="34" t="s">
        <v>233</v>
      </c>
      <c r="L72" s="42" t="s">
        <v>232</v>
      </c>
      <c r="M72" s="42" t="str">
        <f>VLOOKUP(F72,ListaValores!$C$2:$D$11,2,0)</f>
        <v>Infraestructura Hidráulica</v>
      </c>
      <c r="N72" s="40" t="s">
        <v>115</v>
      </c>
      <c r="O72" s="33" t="s">
        <v>701</v>
      </c>
      <c r="P72" s="99" t="s">
        <v>932</v>
      </c>
      <c r="Q72" s="96" t="s">
        <v>821</v>
      </c>
      <c r="R72" s="42" t="s">
        <v>164</v>
      </c>
      <c r="S72" s="93" t="s">
        <v>487</v>
      </c>
      <c r="T72" s="39"/>
      <c r="U72" s="39"/>
    </row>
    <row r="73" spans="1:21" ht="25.5" hidden="1" x14ac:dyDescent="0.25">
      <c r="A73" s="38"/>
      <c r="B73" s="38"/>
      <c r="E73" s="71" t="str">
        <f t="shared" si="2"/>
        <v>IH050</v>
      </c>
      <c r="F73" s="40" t="s">
        <v>98</v>
      </c>
      <c r="G73" s="41">
        <v>50</v>
      </c>
      <c r="H73" s="42" t="s">
        <v>123</v>
      </c>
      <c r="I73" s="43" t="s">
        <v>165</v>
      </c>
      <c r="J73" s="44">
        <v>2000</v>
      </c>
      <c r="K73" s="45" t="s">
        <v>44</v>
      </c>
      <c r="L73" s="42" t="s">
        <v>232</v>
      </c>
      <c r="M73" s="42" t="str">
        <f>VLOOKUP(F73,ListaValores!$C$2:$D$11,2,0)</f>
        <v>Infraestructura Hidráulica</v>
      </c>
      <c r="N73" s="40" t="s">
        <v>115</v>
      </c>
      <c r="O73" s="33" t="s">
        <v>722</v>
      </c>
      <c r="P73" s="99" t="s">
        <v>932</v>
      </c>
      <c r="Q73" s="96" t="s">
        <v>821</v>
      </c>
      <c r="R73" s="42" t="s">
        <v>166</v>
      </c>
      <c r="S73" s="93" t="s">
        <v>488</v>
      </c>
      <c r="T73" s="39"/>
      <c r="U73" s="39"/>
    </row>
    <row r="74" spans="1:21" s="39" customFormat="1" hidden="1" x14ac:dyDescent="0.25">
      <c r="A74" s="38"/>
      <c r="B74" s="38"/>
      <c r="D74"/>
      <c r="E74" s="71" t="str">
        <f t="shared" si="2"/>
        <v>IH060</v>
      </c>
      <c r="F74" s="27" t="s">
        <v>98</v>
      </c>
      <c r="G74" s="28">
        <v>60</v>
      </c>
      <c r="H74" s="29" t="s">
        <v>121</v>
      </c>
      <c r="I74" s="30" t="s">
        <v>69</v>
      </c>
      <c r="J74" s="31">
        <v>2000</v>
      </c>
      <c r="K74" s="34" t="s">
        <v>233</v>
      </c>
      <c r="L74" s="29" t="s">
        <v>236</v>
      </c>
      <c r="M74" s="42" t="str">
        <f>VLOOKUP(F74,ListaValores!$C$2:$D$11,2,0)</f>
        <v>Infraestructura Hidráulica</v>
      </c>
      <c r="N74" s="27" t="s">
        <v>20</v>
      </c>
      <c r="O74" s="33" t="s">
        <v>703</v>
      </c>
      <c r="P74" s="80" t="s">
        <v>936</v>
      </c>
      <c r="Q74" s="96" t="s">
        <v>821</v>
      </c>
      <c r="R74" s="29"/>
      <c r="S74" s="93" t="s">
        <v>473</v>
      </c>
    </row>
    <row r="75" spans="1:21" s="39" customFormat="1" hidden="1" x14ac:dyDescent="0.25">
      <c r="A75" s="38"/>
      <c r="B75" s="38"/>
      <c r="D75"/>
      <c r="E75" s="71" t="str">
        <f t="shared" si="2"/>
        <v>IH065</v>
      </c>
      <c r="F75" s="27" t="s">
        <v>98</v>
      </c>
      <c r="G75" s="28">
        <v>65</v>
      </c>
      <c r="H75" s="29" t="s">
        <v>231</v>
      </c>
      <c r="I75" s="30" t="s">
        <v>80</v>
      </c>
      <c r="J75" s="31">
        <v>2001</v>
      </c>
      <c r="K75" s="45" t="s">
        <v>289</v>
      </c>
      <c r="L75" s="29" t="s">
        <v>236</v>
      </c>
      <c r="M75" s="42" t="str">
        <f>VLOOKUP(F75,ListaValores!$C$2:$D$11,2,0)</f>
        <v>Infraestructura Hidráulica</v>
      </c>
      <c r="N75" s="40" t="s">
        <v>118</v>
      </c>
      <c r="O75" s="33" t="s">
        <v>702</v>
      </c>
      <c r="P75" s="80" t="s">
        <v>937</v>
      </c>
      <c r="Q75" s="96" t="s">
        <v>821</v>
      </c>
      <c r="R75" s="29"/>
      <c r="S75" s="93" t="s">
        <v>386</v>
      </c>
    </row>
    <row r="76" spans="1:21" s="39" customFormat="1" hidden="1" x14ac:dyDescent="0.25">
      <c r="A76" s="38"/>
      <c r="B76" s="38"/>
      <c r="D76" s="38"/>
      <c r="E76" s="71" t="str">
        <f t="shared" ref="E76:E109" si="3">F76&amp;TEXT(G76,"000")</f>
        <v>IH070</v>
      </c>
      <c r="F76" s="27" t="s">
        <v>98</v>
      </c>
      <c r="G76" s="28">
        <v>70</v>
      </c>
      <c r="H76" s="29" t="s">
        <v>121</v>
      </c>
      <c r="I76" s="30" t="s">
        <v>70</v>
      </c>
      <c r="J76" s="31">
        <v>2002</v>
      </c>
      <c r="K76" s="34" t="s">
        <v>233</v>
      </c>
      <c r="L76" s="29" t="s">
        <v>236</v>
      </c>
      <c r="M76" s="42" t="str">
        <f>VLOOKUP(F76,ListaValores!$C$2:$D$11,2,0)</f>
        <v>Infraestructura Hidráulica</v>
      </c>
      <c r="N76" s="27" t="s">
        <v>20</v>
      </c>
      <c r="O76" s="78" t="s">
        <v>721</v>
      </c>
      <c r="P76" s="80" t="s">
        <v>938</v>
      </c>
      <c r="Q76" s="96" t="s">
        <v>821</v>
      </c>
      <c r="R76" s="29"/>
      <c r="S76" s="93" t="s">
        <v>387</v>
      </c>
    </row>
    <row r="77" spans="1:21" hidden="1" x14ac:dyDescent="0.25">
      <c r="A77" s="38"/>
      <c r="B77" s="38"/>
      <c r="E77" s="71" t="str">
        <f t="shared" si="3"/>
        <v>IH075</v>
      </c>
      <c r="F77" s="27" t="s">
        <v>98</v>
      </c>
      <c r="G77" s="28">
        <v>75</v>
      </c>
      <c r="H77" s="29" t="s">
        <v>121</v>
      </c>
      <c r="I77" s="30" t="s">
        <v>71</v>
      </c>
      <c r="J77" s="31">
        <v>2002</v>
      </c>
      <c r="K77" s="32" t="s">
        <v>233</v>
      </c>
      <c r="L77" s="29" t="s">
        <v>236</v>
      </c>
      <c r="M77" s="42" t="str">
        <f>VLOOKUP(F77,ListaValores!$C$2:$D$11,2,0)</f>
        <v>Infraestructura Hidráulica</v>
      </c>
      <c r="N77" s="27" t="s">
        <v>20</v>
      </c>
      <c r="O77" s="33" t="s">
        <v>704</v>
      </c>
      <c r="P77" s="80" t="s">
        <v>939</v>
      </c>
      <c r="Q77" s="96" t="s">
        <v>821</v>
      </c>
      <c r="R77" s="29"/>
      <c r="S77" s="93" t="s">
        <v>388</v>
      </c>
      <c r="T77" s="39"/>
      <c r="U77" s="39"/>
    </row>
    <row r="78" spans="1:21" hidden="1" x14ac:dyDescent="0.25">
      <c r="A78" s="38"/>
      <c r="B78" s="38"/>
      <c r="E78" s="71" t="str">
        <f t="shared" si="3"/>
        <v>IH080</v>
      </c>
      <c r="F78" s="27" t="s">
        <v>98</v>
      </c>
      <c r="G78" s="28">
        <v>80</v>
      </c>
      <c r="H78" s="42" t="s">
        <v>837</v>
      </c>
      <c r="I78" s="30" t="s">
        <v>73</v>
      </c>
      <c r="J78" s="31">
        <v>2003</v>
      </c>
      <c r="K78" s="45" t="s">
        <v>43</v>
      </c>
      <c r="L78" s="29" t="s">
        <v>236</v>
      </c>
      <c r="M78" s="42" t="str">
        <f>VLOOKUP(F78,ListaValores!$C$2:$D$11,2,0)</f>
        <v>Infraestructura Hidráulica</v>
      </c>
      <c r="N78" s="27" t="s">
        <v>6</v>
      </c>
      <c r="O78" s="33" t="s">
        <v>705</v>
      </c>
      <c r="P78" s="80" t="s">
        <v>940</v>
      </c>
      <c r="Q78" s="96" t="s">
        <v>821</v>
      </c>
      <c r="R78" s="29"/>
      <c r="S78" s="93" t="s">
        <v>489</v>
      </c>
      <c r="T78" s="39"/>
      <c r="U78" s="39"/>
    </row>
    <row r="79" spans="1:21" ht="25.5" hidden="1" x14ac:dyDescent="0.25">
      <c r="A79" s="38"/>
      <c r="B79" s="38"/>
      <c r="E79" s="71" t="str">
        <f t="shared" si="3"/>
        <v>IH090</v>
      </c>
      <c r="F79" s="27" t="s">
        <v>98</v>
      </c>
      <c r="G79" s="28">
        <v>90</v>
      </c>
      <c r="H79" s="29" t="s">
        <v>121</v>
      </c>
      <c r="I79" s="43" t="s">
        <v>309</v>
      </c>
      <c r="J79" s="31">
        <v>2003</v>
      </c>
      <c r="K79" s="45" t="s">
        <v>53</v>
      </c>
      <c r="L79" s="29" t="s">
        <v>236</v>
      </c>
      <c r="M79" s="42" t="str">
        <f>VLOOKUP(F79,ListaValores!$C$2:$D$11,2,0)</f>
        <v>Infraestructura Hidráulica</v>
      </c>
      <c r="N79" s="27" t="s">
        <v>116</v>
      </c>
      <c r="O79" s="33" t="s">
        <v>330</v>
      </c>
      <c r="P79" s="42" t="s">
        <v>781</v>
      </c>
      <c r="Q79" s="96" t="s">
        <v>820</v>
      </c>
      <c r="R79" s="29"/>
      <c r="S79" s="93" t="s">
        <v>389</v>
      </c>
      <c r="T79" s="39"/>
      <c r="U79" s="39"/>
    </row>
    <row r="80" spans="1:21" ht="25.5" hidden="1" x14ac:dyDescent="0.25">
      <c r="A80" s="38"/>
      <c r="B80" s="38"/>
      <c r="E80" s="71" t="str">
        <f t="shared" si="3"/>
        <v>IH092</v>
      </c>
      <c r="F80" s="40" t="s">
        <v>98</v>
      </c>
      <c r="G80" s="41">
        <v>92</v>
      </c>
      <c r="H80" s="42" t="s">
        <v>121</v>
      </c>
      <c r="I80" s="43" t="s">
        <v>310</v>
      </c>
      <c r="J80" s="44">
        <v>2004</v>
      </c>
      <c r="K80" s="45" t="s">
        <v>278</v>
      </c>
      <c r="L80" s="42" t="s">
        <v>236</v>
      </c>
      <c r="M80" s="42" t="str">
        <f>VLOOKUP(F80,ListaValores!$C$2:$D$11,2,0)</f>
        <v>Infraestructura Hidráulica</v>
      </c>
      <c r="N80" s="40" t="s">
        <v>115</v>
      </c>
      <c r="O80" s="33" t="s">
        <v>706</v>
      </c>
      <c r="P80" s="42" t="s">
        <v>782</v>
      </c>
      <c r="Q80" s="96" t="s">
        <v>820</v>
      </c>
      <c r="R80" s="42"/>
      <c r="S80" s="93" t="s">
        <v>390</v>
      </c>
      <c r="T80" s="39"/>
      <c r="U80" s="39"/>
    </row>
    <row r="81" spans="1:21" hidden="1" x14ac:dyDescent="0.25">
      <c r="A81" s="38"/>
      <c r="B81" s="38"/>
      <c r="E81" s="71" t="str">
        <f t="shared" ref="E81" si="4">F81&amp;TEXT(G81,"000")</f>
        <v>IH093</v>
      </c>
      <c r="F81" s="40" t="s">
        <v>98</v>
      </c>
      <c r="G81" s="41">
        <v>93</v>
      </c>
      <c r="H81" s="42" t="s">
        <v>121</v>
      </c>
      <c r="I81" s="43" t="s">
        <v>659</v>
      </c>
      <c r="J81" s="44">
        <v>2006</v>
      </c>
      <c r="K81" s="45" t="s">
        <v>53</v>
      </c>
      <c r="L81" s="42" t="s">
        <v>236</v>
      </c>
      <c r="M81" s="42" t="str">
        <f>VLOOKUP(F81,ListaValores!$C$2:$D$11,2,0)</f>
        <v>Infraestructura Hidráulica</v>
      </c>
      <c r="N81" s="40" t="s">
        <v>118</v>
      </c>
      <c r="O81" s="77"/>
      <c r="P81" s="42" t="s">
        <v>783</v>
      </c>
      <c r="Q81" s="96" t="s">
        <v>820</v>
      </c>
      <c r="R81" s="42"/>
      <c r="S81" s="93" t="s">
        <v>661</v>
      </c>
      <c r="T81" s="39"/>
      <c r="U81" s="39"/>
    </row>
    <row r="82" spans="1:21" ht="25.5" hidden="1" x14ac:dyDescent="0.25">
      <c r="A82" s="38"/>
      <c r="B82" s="38"/>
      <c r="E82" s="71" t="str">
        <f t="shared" si="3"/>
        <v>IH095</v>
      </c>
      <c r="F82" s="40" t="s">
        <v>98</v>
      </c>
      <c r="G82" s="41">
        <v>95</v>
      </c>
      <c r="H82" s="42" t="s">
        <v>231</v>
      </c>
      <c r="I82" s="43" t="s">
        <v>328</v>
      </c>
      <c r="J82" s="44">
        <v>2006</v>
      </c>
      <c r="K82" s="45" t="s">
        <v>278</v>
      </c>
      <c r="L82" s="42" t="s">
        <v>236</v>
      </c>
      <c r="M82" s="42" t="str">
        <f>VLOOKUP(F82,ListaValores!$C$2:$D$11,2,0)</f>
        <v>Infraestructura Hidráulica</v>
      </c>
      <c r="N82" s="40" t="s">
        <v>308</v>
      </c>
      <c r="O82" s="33" t="s">
        <v>707</v>
      </c>
      <c r="P82" s="80" t="s">
        <v>941</v>
      </c>
      <c r="Q82" s="96" t="s">
        <v>821</v>
      </c>
      <c r="R82" s="42"/>
      <c r="S82" s="93" t="s">
        <v>391</v>
      </c>
      <c r="T82" s="39"/>
      <c r="U82" s="39"/>
    </row>
    <row r="83" spans="1:21" ht="25.5" hidden="1" x14ac:dyDescent="0.25">
      <c r="A83" s="38"/>
      <c r="B83" s="38"/>
      <c r="E83" s="71" t="str">
        <f t="shared" si="3"/>
        <v>IH100</v>
      </c>
      <c r="F83" s="27" t="s">
        <v>98</v>
      </c>
      <c r="G83" s="28">
        <v>100</v>
      </c>
      <c r="H83" s="42" t="s">
        <v>837</v>
      </c>
      <c r="I83" s="30" t="s">
        <v>66</v>
      </c>
      <c r="J83" s="31">
        <v>2008</v>
      </c>
      <c r="K83" s="32" t="s">
        <v>243</v>
      </c>
      <c r="L83" s="29" t="s">
        <v>236</v>
      </c>
      <c r="M83" s="42" t="str">
        <f>VLOOKUP(F83,ListaValores!$C$2:$D$11,2,0)</f>
        <v>Infraestructura Hidráulica</v>
      </c>
      <c r="N83" s="27" t="s">
        <v>20</v>
      </c>
      <c r="O83" s="33" t="s">
        <v>708</v>
      </c>
      <c r="P83" s="80" t="s">
        <v>942</v>
      </c>
      <c r="Q83" s="96" t="s">
        <v>821</v>
      </c>
      <c r="R83" s="29"/>
      <c r="S83" s="93" t="s">
        <v>392</v>
      </c>
      <c r="T83" s="39"/>
      <c r="U83" s="39"/>
    </row>
    <row r="84" spans="1:21" ht="51" hidden="1" x14ac:dyDescent="0.25">
      <c r="A84" s="38"/>
      <c r="B84" s="38"/>
      <c r="E84" s="71" t="str">
        <f t="shared" si="3"/>
        <v>IH110</v>
      </c>
      <c r="F84" s="27" t="s">
        <v>98</v>
      </c>
      <c r="G84" s="28">
        <v>110</v>
      </c>
      <c r="H84" s="42" t="s">
        <v>123</v>
      </c>
      <c r="I84" s="30" t="s">
        <v>466</v>
      </c>
      <c r="J84" s="31">
        <v>2009</v>
      </c>
      <c r="K84" s="45" t="s">
        <v>235</v>
      </c>
      <c r="L84" s="29" t="s">
        <v>157</v>
      </c>
      <c r="M84" s="42" t="str">
        <f>VLOOKUP(F84,ListaValores!$C$2:$D$11,2,0)</f>
        <v>Infraestructura Hidráulica</v>
      </c>
      <c r="N84" s="27" t="s">
        <v>4</v>
      </c>
      <c r="O84" s="33" t="s">
        <v>654</v>
      </c>
      <c r="P84" s="80" t="s">
        <v>943</v>
      </c>
      <c r="Q84" s="96" t="s">
        <v>821</v>
      </c>
      <c r="R84" s="29"/>
      <c r="S84" s="93" t="s">
        <v>474</v>
      </c>
      <c r="T84" s="39"/>
      <c r="U84" s="39"/>
    </row>
    <row r="85" spans="1:21" ht="25.5" hidden="1" x14ac:dyDescent="0.25">
      <c r="A85" s="38"/>
      <c r="B85" s="38"/>
      <c r="E85" s="71" t="str">
        <f t="shared" si="3"/>
        <v>IH130</v>
      </c>
      <c r="F85" s="27" t="s">
        <v>98</v>
      </c>
      <c r="G85" s="28">
        <v>130</v>
      </c>
      <c r="H85" s="42" t="s">
        <v>123</v>
      </c>
      <c r="I85" s="30" t="s">
        <v>273</v>
      </c>
      <c r="J85" s="31">
        <v>2010</v>
      </c>
      <c r="K85" s="45" t="s">
        <v>5</v>
      </c>
      <c r="L85" s="29" t="s">
        <v>232</v>
      </c>
      <c r="M85" s="42" t="str">
        <f>VLOOKUP(F85,ListaValores!$C$2:$D$11,2,0)</f>
        <v>Infraestructura Hidráulica</v>
      </c>
      <c r="N85" s="27" t="s">
        <v>4</v>
      </c>
      <c r="O85" s="33" t="s">
        <v>709</v>
      </c>
      <c r="P85" s="80" t="s">
        <v>944</v>
      </c>
      <c r="Q85" s="96" t="s">
        <v>821</v>
      </c>
      <c r="R85" s="29" t="s">
        <v>167</v>
      </c>
      <c r="S85" s="93" t="s">
        <v>393</v>
      </c>
      <c r="T85" s="39"/>
      <c r="U85" s="39"/>
    </row>
    <row r="86" spans="1:21" ht="25.5" hidden="1" x14ac:dyDescent="0.25">
      <c r="A86" s="38"/>
      <c r="B86" s="38"/>
      <c r="E86" s="71" t="str">
        <f t="shared" si="3"/>
        <v>IH131</v>
      </c>
      <c r="F86" s="27" t="s">
        <v>98</v>
      </c>
      <c r="G86" s="28">
        <v>131</v>
      </c>
      <c r="H86" s="42" t="s">
        <v>123</v>
      </c>
      <c r="I86" s="30" t="s">
        <v>272</v>
      </c>
      <c r="J86" s="31">
        <v>2010</v>
      </c>
      <c r="K86" s="32" t="s">
        <v>5</v>
      </c>
      <c r="L86" s="29" t="s">
        <v>232</v>
      </c>
      <c r="M86" s="42" t="str">
        <f>VLOOKUP(F86,ListaValores!$C$2:$D$11,2,0)</f>
        <v>Infraestructura Hidráulica</v>
      </c>
      <c r="N86" s="27" t="s">
        <v>4</v>
      </c>
      <c r="O86" s="33" t="s">
        <v>710</v>
      </c>
      <c r="P86" s="80" t="s">
        <v>939</v>
      </c>
      <c r="Q86" s="96" t="s">
        <v>821</v>
      </c>
      <c r="R86" s="29" t="s">
        <v>167</v>
      </c>
      <c r="S86" s="93" t="s">
        <v>394</v>
      </c>
      <c r="T86" s="39"/>
      <c r="U86" s="39"/>
    </row>
    <row r="87" spans="1:21" hidden="1" x14ac:dyDescent="0.25">
      <c r="A87" s="38"/>
      <c r="B87" s="38"/>
      <c r="E87" s="71" t="str">
        <f t="shared" si="3"/>
        <v>IH140</v>
      </c>
      <c r="F87" s="27" t="s">
        <v>98</v>
      </c>
      <c r="G87" s="28">
        <v>140</v>
      </c>
      <c r="H87" s="29" t="s">
        <v>121</v>
      </c>
      <c r="I87" s="30" t="s">
        <v>72</v>
      </c>
      <c r="J87" s="31">
        <v>2010</v>
      </c>
      <c r="K87" s="32" t="s">
        <v>52</v>
      </c>
      <c r="L87" s="29" t="s">
        <v>236</v>
      </c>
      <c r="M87" s="42" t="str">
        <f>VLOOKUP(F87,ListaValores!$C$2:$D$11,2,0)</f>
        <v>Infraestructura Hidráulica</v>
      </c>
      <c r="N87" s="27" t="s">
        <v>20</v>
      </c>
      <c r="O87" s="33" t="s">
        <v>711</v>
      </c>
      <c r="P87" s="80" t="s">
        <v>945</v>
      </c>
      <c r="Q87" s="96" t="s">
        <v>821</v>
      </c>
      <c r="R87" s="29"/>
      <c r="S87" s="93" t="s">
        <v>395</v>
      </c>
      <c r="T87" s="39"/>
      <c r="U87" s="39"/>
    </row>
    <row r="88" spans="1:21" hidden="1" x14ac:dyDescent="0.25">
      <c r="A88" s="38"/>
      <c r="B88" s="38"/>
      <c r="E88" s="71" t="str">
        <f t="shared" si="3"/>
        <v>IH145</v>
      </c>
      <c r="F88" s="27" t="s">
        <v>98</v>
      </c>
      <c r="G88" s="28">
        <v>145</v>
      </c>
      <c r="H88" s="42" t="s">
        <v>837</v>
      </c>
      <c r="I88" s="30" t="s">
        <v>288</v>
      </c>
      <c r="J88" s="31">
        <v>2010</v>
      </c>
      <c r="K88" s="32" t="s">
        <v>243</v>
      </c>
      <c r="L88" s="29" t="s">
        <v>236</v>
      </c>
      <c r="M88" s="42" t="str">
        <f>VLOOKUP(F88,ListaValores!$C$2:$D$11,2,0)</f>
        <v>Infraestructura Hidráulica</v>
      </c>
      <c r="N88" s="27" t="s">
        <v>20</v>
      </c>
      <c r="O88" s="33" t="s">
        <v>712</v>
      </c>
      <c r="P88" s="80" t="s">
        <v>946</v>
      </c>
      <c r="Q88" s="96" t="s">
        <v>821</v>
      </c>
      <c r="R88" s="29"/>
      <c r="S88" s="93" t="s">
        <v>396</v>
      </c>
      <c r="T88" s="39"/>
      <c r="U88" s="39"/>
    </row>
    <row r="89" spans="1:21" ht="25.5" hidden="1" x14ac:dyDescent="0.25">
      <c r="A89" s="38"/>
      <c r="B89" s="38"/>
      <c r="E89" s="71" t="str">
        <f t="shared" si="3"/>
        <v>IH146</v>
      </c>
      <c r="F89" s="27" t="s">
        <v>98</v>
      </c>
      <c r="G89" s="28">
        <v>146</v>
      </c>
      <c r="H89" s="42" t="s">
        <v>837</v>
      </c>
      <c r="I89" s="30" t="s">
        <v>286</v>
      </c>
      <c r="J89" s="31">
        <v>2010</v>
      </c>
      <c r="K89" s="32" t="s">
        <v>243</v>
      </c>
      <c r="L89" s="29" t="s">
        <v>236</v>
      </c>
      <c r="M89" s="42" t="str">
        <f>VLOOKUP(F89,ListaValores!$C$2:$D$11,2,0)</f>
        <v>Infraestructura Hidráulica</v>
      </c>
      <c r="N89" s="27" t="s">
        <v>20</v>
      </c>
      <c r="O89" s="33" t="s">
        <v>287</v>
      </c>
      <c r="P89" s="80" t="s">
        <v>946</v>
      </c>
      <c r="Q89" s="96" t="s">
        <v>821</v>
      </c>
      <c r="R89" s="29"/>
      <c r="S89" s="93" t="s">
        <v>397</v>
      </c>
      <c r="T89" s="39"/>
      <c r="U89" s="39"/>
    </row>
    <row r="90" spans="1:21" hidden="1" x14ac:dyDescent="0.25">
      <c r="A90" s="38"/>
      <c r="B90" s="38"/>
      <c r="E90" s="71" t="str">
        <f t="shared" si="3"/>
        <v>IH150</v>
      </c>
      <c r="F90" s="27" t="s">
        <v>98</v>
      </c>
      <c r="G90" s="28">
        <v>150</v>
      </c>
      <c r="H90" s="42" t="s">
        <v>837</v>
      </c>
      <c r="I90" s="30" t="s">
        <v>74</v>
      </c>
      <c r="J90" s="31">
        <v>2011</v>
      </c>
      <c r="K90" s="32" t="s">
        <v>46</v>
      </c>
      <c r="L90" s="29" t="s">
        <v>157</v>
      </c>
      <c r="M90" s="42" t="str">
        <f>VLOOKUP(F90,ListaValores!$C$2:$D$11,2,0)</f>
        <v>Infraestructura Hidráulica</v>
      </c>
      <c r="N90" s="40" t="s">
        <v>119</v>
      </c>
      <c r="O90" s="42" t="s">
        <v>713</v>
      </c>
      <c r="P90" s="80" t="s">
        <v>947</v>
      </c>
      <c r="Q90" s="96" t="s">
        <v>821</v>
      </c>
      <c r="R90" s="29"/>
      <c r="S90" s="93" t="s">
        <v>398</v>
      </c>
      <c r="T90" s="39"/>
      <c r="U90" s="39"/>
    </row>
    <row r="91" spans="1:21" hidden="1" x14ac:dyDescent="0.25">
      <c r="A91" s="38"/>
      <c r="B91" s="38"/>
      <c r="E91" s="71" t="str">
        <f t="shared" si="3"/>
        <v>IH160</v>
      </c>
      <c r="F91" s="27" t="s">
        <v>98</v>
      </c>
      <c r="G91" s="28">
        <v>160</v>
      </c>
      <c r="H91" s="42" t="s">
        <v>837</v>
      </c>
      <c r="I91" s="30" t="s">
        <v>458</v>
      </c>
      <c r="J91" s="31">
        <v>2011</v>
      </c>
      <c r="K91" s="32" t="s">
        <v>46</v>
      </c>
      <c r="L91" s="29" t="s">
        <v>157</v>
      </c>
      <c r="M91" s="42" t="str">
        <f>VLOOKUP(F91,ListaValores!$C$2:$D$11,2,0)</f>
        <v>Infraestructura Hidráulica</v>
      </c>
      <c r="N91" s="40" t="s">
        <v>118</v>
      </c>
      <c r="O91" s="42" t="s">
        <v>714</v>
      </c>
      <c r="P91" s="80" t="s">
        <v>947</v>
      </c>
      <c r="Q91" s="96" t="s">
        <v>821</v>
      </c>
      <c r="R91" s="29"/>
      <c r="S91" s="93" t="s">
        <v>475</v>
      </c>
      <c r="T91" s="39"/>
      <c r="U91" s="39"/>
    </row>
    <row r="92" spans="1:21" hidden="1" x14ac:dyDescent="0.25">
      <c r="A92" s="38"/>
      <c r="B92" s="38"/>
      <c r="E92" s="71" t="str">
        <f t="shared" si="3"/>
        <v>IH170</v>
      </c>
      <c r="F92" s="27" t="s">
        <v>98</v>
      </c>
      <c r="G92" s="28">
        <v>170</v>
      </c>
      <c r="H92" s="29" t="s">
        <v>123</v>
      </c>
      <c r="I92" s="30" t="s">
        <v>75</v>
      </c>
      <c r="J92" s="31">
        <v>2011</v>
      </c>
      <c r="K92" s="32" t="s">
        <v>5</v>
      </c>
      <c r="L92" s="29" t="s">
        <v>157</v>
      </c>
      <c r="M92" s="42" t="str">
        <f>VLOOKUP(F92,ListaValores!$C$2:$D$11,2,0)</f>
        <v>Infraestructura Hidráulica</v>
      </c>
      <c r="N92" s="40" t="s">
        <v>118</v>
      </c>
      <c r="O92" s="42" t="s">
        <v>715</v>
      </c>
      <c r="P92" s="80" t="s">
        <v>948</v>
      </c>
      <c r="Q92" s="96" t="s">
        <v>821</v>
      </c>
      <c r="R92" s="29"/>
      <c r="S92" s="93" t="s">
        <v>490</v>
      </c>
      <c r="T92" s="39"/>
      <c r="U92" s="39"/>
    </row>
    <row r="93" spans="1:21" s="39" customFormat="1" ht="25.5" hidden="1" x14ac:dyDescent="0.25">
      <c r="A93" s="38"/>
      <c r="B93" s="38"/>
      <c r="D93"/>
      <c r="E93" s="71" t="str">
        <f t="shared" si="3"/>
        <v>IH180</v>
      </c>
      <c r="F93" s="27" t="s">
        <v>98</v>
      </c>
      <c r="G93" s="28">
        <v>180</v>
      </c>
      <c r="H93" s="42" t="s">
        <v>837</v>
      </c>
      <c r="I93" s="30" t="s">
        <v>274</v>
      </c>
      <c r="J93" s="31">
        <v>2011</v>
      </c>
      <c r="K93" s="32" t="s">
        <v>235</v>
      </c>
      <c r="L93" s="29" t="s">
        <v>157</v>
      </c>
      <c r="M93" s="42" t="str">
        <f>VLOOKUP(F93,ListaValores!$C$2:$D$11,2,0)</f>
        <v>Infraestructura Hidráulica</v>
      </c>
      <c r="N93" s="27" t="s">
        <v>4</v>
      </c>
      <c r="O93" s="42" t="s">
        <v>720</v>
      </c>
      <c r="P93" s="80" t="s">
        <v>949</v>
      </c>
      <c r="Q93" s="96" t="s">
        <v>821</v>
      </c>
      <c r="R93" s="29"/>
      <c r="S93" s="93" t="s">
        <v>399</v>
      </c>
    </row>
    <row r="94" spans="1:21" s="39" customFormat="1" ht="25.5" hidden="1" x14ac:dyDescent="0.25">
      <c r="A94" s="38"/>
      <c r="B94" s="38"/>
      <c r="D94"/>
      <c r="E94" s="71" t="str">
        <f t="shared" si="3"/>
        <v>IH190</v>
      </c>
      <c r="F94" s="27" t="s">
        <v>98</v>
      </c>
      <c r="G94" s="28">
        <v>190</v>
      </c>
      <c r="H94" s="42" t="s">
        <v>123</v>
      </c>
      <c r="I94" s="30" t="s">
        <v>76</v>
      </c>
      <c r="J94" s="31">
        <v>2011</v>
      </c>
      <c r="K94" s="45" t="s">
        <v>5</v>
      </c>
      <c r="L94" s="29" t="s">
        <v>232</v>
      </c>
      <c r="M94" s="42" t="str">
        <f>VLOOKUP(F94,ListaValores!$C$2:$D$11,2,0)</f>
        <v>Infraestructura Hidráulica</v>
      </c>
      <c r="N94" s="27" t="s">
        <v>4</v>
      </c>
      <c r="O94" s="42" t="s">
        <v>716</v>
      </c>
      <c r="P94" s="80" t="s">
        <v>950</v>
      </c>
      <c r="Q94" s="96" t="s">
        <v>821</v>
      </c>
      <c r="R94" s="29" t="s">
        <v>168</v>
      </c>
      <c r="S94" s="93" t="s">
        <v>400</v>
      </c>
    </row>
    <row r="95" spans="1:21" s="39" customFormat="1" hidden="1" x14ac:dyDescent="0.25">
      <c r="A95" s="38"/>
      <c r="B95" s="38"/>
      <c r="D95"/>
      <c r="E95" s="71" t="str">
        <f t="shared" si="3"/>
        <v>IH200</v>
      </c>
      <c r="F95" s="40" t="s">
        <v>98</v>
      </c>
      <c r="G95" s="41">
        <v>200</v>
      </c>
      <c r="H95" s="42" t="s">
        <v>150</v>
      </c>
      <c r="I95" s="43" t="s">
        <v>77</v>
      </c>
      <c r="J95" s="31">
        <v>2011</v>
      </c>
      <c r="K95" s="45" t="s">
        <v>291</v>
      </c>
      <c r="L95" s="45" t="s">
        <v>240</v>
      </c>
      <c r="M95" s="45" t="str">
        <f>VLOOKUP(F95,ListaValores!$C$2:$D$11,2,0)</f>
        <v>Infraestructura Hidráulica</v>
      </c>
      <c r="N95" s="27" t="s">
        <v>4</v>
      </c>
      <c r="O95" s="35" t="s">
        <v>655</v>
      </c>
      <c r="P95" s="80" t="s">
        <v>951</v>
      </c>
      <c r="Q95" s="96" t="s">
        <v>821</v>
      </c>
      <c r="R95" s="29"/>
      <c r="S95" s="93" t="s">
        <v>401</v>
      </c>
    </row>
    <row r="96" spans="1:21" hidden="1" x14ac:dyDescent="0.25">
      <c r="A96" s="38"/>
      <c r="B96" s="38"/>
      <c r="E96" s="71" t="str">
        <f t="shared" si="3"/>
        <v>IH210</v>
      </c>
      <c r="F96" s="27" t="s">
        <v>98</v>
      </c>
      <c r="G96" s="28">
        <v>210</v>
      </c>
      <c r="H96" s="42" t="s">
        <v>231</v>
      </c>
      <c r="I96" s="30" t="s">
        <v>78</v>
      </c>
      <c r="J96" s="31">
        <v>2012</v>
      </c>
      <c r="K96" s="79" t="s">
        <v>290</v>
      </c>
      <c r="L96" s="29" t="s">
        <v>157</v>
      </c>
      <c r="M96" s="42" t="str">
        <f>VLOOKUP(F96,ListaValores!$C$2:$D$11,2,0)</f>
        <v>Infraestructura Hidráulica</v>
      </c>
      <c r="N96" s="27" t="s">
        <v>20</v>
      </c>
      <c r="O96" s="42" t="s">
        <v>828</v>
      </c>
      <c r="P96" s="80" t="s">
        <v>952</v>
      </c>
      <c r="Q96" s="96" t="s">
        <v>821</v>
      </c>
      <c r="R96" s="29"/>
      <c r="S96" s="93" t="s">
        <v>402</v>
      </c>
      <c r="T96" s="39"/>
      <c r="U96" s="39"/>
    </row>
    <row r="97" spans="1:21" ht="25.5" hidden="1" x14ac:dyDescent="0.25">
      <c r="A97" s="38"/>
      <c r="B97" s="38"/>
      <c r="E97" s="71" t="str">
        <f t="shared" si="3"/>
        <v>IH220</v>
      </c>
      <c r="F97" s="27" t="s">
        <v>98</v>
      </c>
      <c r="G97" s="28">
        <v>220</v>
      </c>
      <c r="H97" s="42" t="s">
        <v>231</v>
      </c>
      <c r="I97" s="30" t="s">
        <v>169</v>
      </c>
      <c r="J97" s="31">
        <v>2012</v>
      </c>
      <c r="K97" s="32" t="s">
        <v>170</v>
      </c>
      <c r="L97" s="29" t="s">
        <v>157</v>
      </c>
      <c r="M97" s="42" t="str">
        <f>VLOOKUP(F97,ListaValores!$C$2:$D$11,2,0)</f>
        <v>Infraestructura Hidráulica</v>
      </c>
      <c r="N97" s="27" t="s">
        <v>20</v>
      </c>
      <c r="O97" s="42" t="s">
        <v>717</v>
      </c>
      <c r="P97" s="80" t="s">
        <v>953</v>
      </c>
      <c r="Q97" s="96" t="s">
        <v>821</v>
      </c>
      <c r="R97" s="29"/>
      <c r="S97" s="93" t="s">
        <v>491</v>
      </c>
      <c r="T97" s="39"/>
      <c r="U97" s="39"/>
    </row>
    <row r="98" spans="1:21" ht="25.5" hidden="1" x14ac:dyDescent="0.25">
      <c r="A98" s="38"/>
      <c r="B98" s="38"/>
      <c r="E98" s="71" t="str">
        <f t="shared" si="3"/>
        <v>IH230</v>
      </c>
      <c r="F98" s="27" t="s">
        <v>98</v>
      </c>
      <c r="G98" s="28">
        <v>230</v>
      </c>
      <c r="H98" s="42" t="s">
        <v>231</v>
      </c>
      <c r="I98" s="30" t="s">
        <v>725</v>
      </c>
      <c r="J98" s="31">
        <v>2013</v>
      </c>
      <c r="K98" s="32" t="s">
        <v>44</v>
      </c>
      <c r="L98" s="29" t="s">
        <v>236</v>
      </c>
      <c r="M98" s="42" t="str">
        <f>VLOOKUP(F98,ListaValores!$C$2:$D$11,2,0)</f>
        <v>Infraestructura Hidráulica</v>
      </c>
      <c r="N98" s="27" t="s">
        <v>117</v>
      </c>
      <c r="O98" s="42" t="s">
        <v>726</v>
      </c>
      <c r="P98" s="80" t="s">
        <v>954</v>
      </c>
      <c r="Q98" s="96" t="s">
        <v>821</v>
      </c>
      <c r="R98" s="29"/>
      <c r="S98" s="93" t="s">
        <v>403</v>
      </c>
      <c r="T98" s="39"/>
      <c r="U98" s="39"/>
    </row>
    <row r="99" spans="1:21" ht="25.5" hidden="1" x14ac:dyDescent="0.25">
      <c r="A99" s="38"/>
      <c r="B99" s="38"/>
      <c r="E99" s="71" t="str">
        <f t="shared" si="3"/>
        <v>IH240</v>
      </c>
      <c r="F99" s="40" t="s">
        <v>98</v>
      </c>
      <c r="G99" s="41">
        <v>240</v>
      </c>
      <c r="H99" s="42" t="s">
        <v>231</v>
      </c>
      <c r="I99" s="43" t="s">
        <v>325</v>
      </c>
      <c r="J99" s="44">
        <v>2014</v>
      </c>
      <c r="K99" s="45" t="s">
        <v>307</v>
      </c>
      <c r="L99" s="42" t="s">
        <v>157</v>
      </c>
      <c r="M99" s="42" t="str">
        <f>VLOOKUP(F99,ListaValores!$C$2:$D$11,2,0)</f>
        <v>Infraestructura Hidráulica</v>
      </c>
      <c r="N99" s="40" t="s">
        <v>118</v>
      </c>
      <c r="O99" s="42" t="s">
        <v>718</v>
      </c>
      <c r="P99" s="42" t="s">
        <v>784</v>
      </c>
      <c r="Q99" s="96" t="s">
        <v>820</v>
      </c>
      <c r="R99" s="42"/>
      <c r="S99" s="93" t="s">
        <v>404</v>
      </c>
      <c r="T99" s="39"/>
      <c r="U99" s="39"/>
    </row>
    <row r="100" spans="1:21" ht="25.5" hidden="1" x14ac:dyDescent="0.25">
      <c r="A100" s="38"/>
      <c r="B100" s="38"/>
      <c r="E100" s="71" t="str">
        <f t="shared" si="3"/>
        <v>IH245</v>
      </c>
      <c r="F100" s="40" t="s">
        <v>98</v>
      </c>
      <c r="G100" s="41">
        <v>245</v>
      </c>
      <c r="H100" s="42" t="s">
        <v>231</v>
      </c>
      <c r="I100" s="43" t="s">
        <v>329</v>
      </c>
      <c r="J100" s="44">
        <v>2014</v>
      </c>
      <c r="K100" s="79" t="s">
        <v>290</v>
      </c>
      <c r="L100" s="80" t="s">
        <v>290</v>
      </c>
      <c r="M100" s="42" t="str">
        <f>VLOOKUP(F100,ListaValores!$C$2:$D$11,2,0)</f>
        <v>Infraestructura Hidráulica</v>
      </c>
      <c r="N100" s="40" t="s">
        <v>118</v>
      </c>
      <c r="O100" s="42"/>
      <c r="P100" s="80" t="s">
        <v>957</v>
      </c>
      <c r="Q100" s="96" t="s">
        <v>821</v>
      </c>
      <c r="R100" s="42"/>
      <c r="S100" s="93" t="s">
        <v>405</v>
      </c>
      <c r="T100" s="39"/>
      <c r="U100" s="39"/>
    </row>
    <row r="101" spans="1:21" s="39" customFormat="1" ht="25.5" hidden="1" x14ac:dyDescent="0.25">
      <c r="A101" s="38"/>
      <c r="B101" s="38"/>
      <c r="C101" s="38"/>
      <c r="D101" s="38"/>
      <c r="E101" s="71" t="str">
        <f t="shared" si="3"/>
        <v>IH250</v>
      </c>
      <c r="F101" s="40" t="s">
        <v>98</v>
      </c>
      <c r="G101" s="41">
        <v>250</v>
      </c>
      <c r="H101" s="42" t="s">
        <v>231</v>
      </c>
      <c r="I101" s="43" t="s">
        <v>326</v>
      </c>
      <c r="J101" s="44">
        <v>2015</v>
      </c>
      <c r="K101" s="79" t="s">
        <v>290</v>
      </c>
      <c r="L101" s="42" t="s">
        <v>236</v>
      </c>
      <c r="M101" s="42" t="str">
        <f>VLOOKUP(F101,ListaValores!$C$2:$D$11,2,0)</f>
        <v>Infraestructura Hidráulica</v>
      </c>
      <c r="N101" s="40" t="s">
        <v>119</v>
      </c>
      <c r="O101" s="42" t="s">
        <v>719</v>
      </c>
      <c r="P101" s="80" t="s">
        <v>955</v>
      </c>
      <c r="Q101" s="96" t="s">
        <v>821</v>
      </c>
      <c r="R101" s="42"/>
      <c r="S101" s="93" t="s">
        <v>406</v>
      </c>
    </row>
    <row r="102" spans="1:21" hidden="1" x14ac:dyDescent="0.25">
      <c r="A102" s="38"/>
      <c r="B102" s="38"/>
      <c r="E102" s="71" t="str">
        <f t="shared" si="3"/>
        <v>IH280</v>
      </c>
      <c r="F102" s="27" t="s">
        <v>98</v>
      </c>
      <c r="G102" s="28">
        <v>280</v>
      </c>
      <c r="H102" s="29" t="s">
        <v>123</v>
      </c>
      <c r="I102" s="30" t="s">
        <v>101</v>
      </c>
      <c r="J102" s="53" t="s">
        <v>290</v>
      </c>
      <c r="K102" s="79" t="s">
        <v>290</v>
      </c>
      <c r="L102" s="80" t="s">
        <v>290</v>
      </c>
      <c r="M102" s="42" t="str">
        <f>VLOOKUP(F102,ListaValores!$C$2:$D$11,2,0)</f>
        <v>Infraestructura Hidráulica</v>
      </c>
      <c r="N102" s="27" t="s">
        <v>4</v>
      </c>
      <c r="O102" s="33" t="s">
        <v>727</v>
      </c>
      <c r="P102" s="80" t="s">
        <v>956</v>
      </c>
      <c r="Q102" s="96" t="s">
        <v>821</v>
      </c>
      <c r="R102" s="29"/>
      <c r="S102" s="93" t="s">
        <v>407</v>
      </c>
      <c r="T102" s="39"/>
      <c r="U102" s="39"/>
    </row>
    <row r="103" spans="1:21" hidden="1" x14ac:dyDescent="0.25">
      <c r="A103" s="38"/>
      <c r="B103" s="38"/>
      <c r="E103" s="71" t="str">
        <f t="shared" si="3"/>
        <v>CC091</v>
      </c>
      <c r="F103" s="40" t="s">
        <v>96</v>
      </c>
      <c r="G103" s="41">
        <v>91</v>
      </c>
      <c r="H103" s="42" t="s">
        <v>150</v>
      </c>
      <c r="I103" s="43" t="s">
        <v>855</v>
      </c>
      <c r="J103" s="53">
        <v>2013</v>
      </c>
      <c r="K103" s="79" t="s">
        <v>856</v>
      </c>
      <c r="L103" s="80" t="s">
        <v>857</v>
      </c>
      <c r="M103" s="42" t="s">
        <v>107</v>
      </c>
      <c r="N103" s="40" t="s">
        <v>4</v>
      </c>
      <c r="O103" s="33" t="s">
        <v>858</v>
      </c>
      <c r="P103" s="80" t="s">
        <v>959</v>
      </c>
      <c r="Q103" s="96" t="s">
        <v>821</v>
      </c>
      <c r="R103" s="42"/>
      <c r="S103" s="93"/>
      <c r="T103" s="39"/>
      <c r="U103" s="39"/>
    </row>
    <row r="104" spans="1:21" hidden="1" x14ac:dyDescent="0.25">
      <c r="A104" s="38"/>
      <c r="B104" s="38"/>
      <c r="E104" s="71" t="str">
        <f t="shared" si="3"/>
        <v>MA010</v>
      </c>
      <c r="F104" s="27" t="s">
        <v>25</v>
      </c>
      <c r="G104" s="28">
        <v>10</v>
      </c>
      <c r="H104" s="42" t="s">
        <v>837</v>
      </c>
      <c r="I104" s="30" t="s">
        <v>81</v>
      </c>
      <c r="J104" s="31">
        <v>1990</v>
      </c>
      <c r="K104" s="32" t="s">
        <v>36</v>
      </c>
      <c r="L104" s="29" t="s">
        <v>24</v>
      </c>
      <c r="M104" s="42" t="str">
        <f>VLOOKUP(F104,ListaValores!$C$2:$D$11,2,0)</f>
        <v>Medio Ambiente</v>
      </c>
      <c r="N104" s="27" t="s">
        <v>6</v>
      </c>
      <c r="O104" s="33" t="s">
        <v>728</v>
      </c>
      <c r="P104" s="80" t="s">
        <v>959</v>
      </c>
      <c r="Q104" s="96" t="s">
        <v>821</v>
      </c>
      <c r="R104" s="29"/>
      <c r="S104" s="93" t="s">
        <v>408</v>
      </c>
      <c r="T104" s="39"/>
      <c r="U104" s="39"/>
    </row>
    <row r="105" spans="1:21" hidden="1" x14ac:dyDescent="0.25">
      <c r="A105" s="38"/>
      <c r="B105" s="38"/>
      <c r="E105" s="71" t="str">
        <f t="shared" si="3"/>
        <v>MA020</v>
      </c>
      <c r="F105" s="27" t="s">
        <v>25</v>
      </c>
      <c r="G105" s="28">
        <v>20</v>
      </c>
      <c r="H105" s="29" t="s">
        <v>121</v>
      </c>
      <c r="I105" s="30" t="s">
        <v>188</v>
      </c>
      <c r="J105" s="31">
        <v>1999</v>
      </c>
      <c r="K105" s="32" t="s">
        <v>149</v>
      </c>
      <c r="L105" s="29" t="s">
        <v>149</v>
      </c>
      <c r="M105" s="42" t="str">
        <f>VLOOKUP(F105,ListaValores!$C$2:$D$11,2,0)</f>
        <v>Medio Ambiente</v>
      </c>
      <c r="N105" s="27" t="s">
        <v>4</v>
      </c>
      <c r="O105" s="35" t="s">
        <v>247</v>
      </c>
      <c r="P105" s="80" t="s">
        <v>959</v>
      </c>
      <c r="Q105" s="96" t="s">
        <v>821</v>
      </c>
      <c r="R105" s="29"/>
      <c r="S105" s="93" t="s">
        <v>409</v>
      </c>
      <c r="T105" s="39"/>
      <c r="U105" s="39"/>
    </row>
    <row r="106" spans="1:21" hidden="1" x14ac:dyDescent="0.25">
      <c r="A106" s="38"/>
      <c r="B106" s="38"/>
      <c r="E106" s="71" t="str">
        <f t="shared" si="3"/>
        <v>MA030</v>
      </c>
      <c r="F106" s="27" t="s">
        <v>25</v>
      </c>
      <c r="G106" s="28">
        <v>30</v>
      </c>
      <c r="H106" s="42" t="s">
        <v>837</v>
      </c>
      <c r="I106" s="30" t="s">
        <v>189</v>
      </c>
      <c r="J106" s="31">
        <v>1999</v>
      </c>
      <c r="K106" s="32" t="s">
        <v>190</v>
      </c>
      <c r="L106" s="29" t="s">
        <v>190</v>
      </c>
      <c r="M106" s="42" t="str">
        <f>VLOOKUP(F106,ListaValores!$C$2:$D$11,2,0)</f>
        <v>Medio Ambiente</v>
      </c>
      <c r="N106" s="27" t="s">
        <v>6</v>
      </c>
      <c r="O106" s="35" t="s">
        <v>209</v>
      </c>
      <c r="P106" s="91" t="s">
        <v>799</v>
      </c>
      <c r="Q106" s="96" t="s">
        <v>820</v>
      </c>
      <c r="R106" s="29"/>
      <c r="S106" s="93" t="s">
        <v>410</v>
      </c>
      <c r="T106" s="39"/>
      <c r="U106" s="39"/>
    </row>
    <row r="107" spans="1:21" hidden="1" x14ac:dyDescent="0.25">
      <c r="A107" s="38"/>
      <c r="B107" s="38"/>
      <c r="E107" s="71" t="str">
        <f t="shared" si="3"/>
        <v>MA040</v>
      </c>
      <c r="F107" s="27" t="s">
        <v>25</v>
      </c>
      <c r="G107" s="28">
        <v>40</v>
      </c>
      <c r="H107" s="29" t="s">
        <v>121</v>
      </c>
      <c r="I107" s="30" t="s">
        <v>84</v>
      </c>
      <c r="J107" s="31">
        <v>2002</v>
      </c>
      <c r="K107" s="32" t="s">
        <v>26</v>
      </c>
      <c r="L107" s="29" t="s">
        <v>26</v>
      </c>
      <c r="M107" s="42" t="str">
        <f>VLOOKUP(F107,ListaValores!$C$2:$D$11,2,0)</f>
        <v>Medio Ambiente</v>
      </c>
      <c r="N107" s="27" t="s">
        <v>4</v>
      </c>
      <c r="O107" s="35" t="s">
        <v>210</v>
      </c>
      <c r="P107" s="80" t="s">
        <v>959</v>
      </c>
      <c r="Q107" s="96" t="s">
        <v>821</v>
      </c>
      <c r="R107" s="29"/>
      <c r="S107" s="93" t="s">
        <v>411</v>
      </c>
      <c r="T107" s="39"/>
      <c r="U107" s="39"/>
    </row>
    <row r="108" spans="1:21" s="39" customFormat="1" ht="25.5" hidden="1" x14ac:dyDescent="0.25">
      <c r="A108" s="38"/>
      <c r="B108" s="38"/>
      <c r="C108" s="38"/>
      <c r="D108" s="38"/>
      <c r="E108" s="71" t="str">
        <f t="shared" si="3"/>
        <v>MA045</v>
      </c>
      <c r="F108" s="27" t="s">
        <v>25</v>
      </c>
      <c r="G108" s="28">
        <v>45</v>
      </c>
      <c r="H108" s="42" t="s">
        <v>121</v>
      </c>
      <c r="I108" s="30" t="s">
        <v>191</v>
      </c>
      <c r="J108" s="31">
        <v>2002</v>
      </c>
      <c r="K108" s="32" t="s">
        <v>192</v>
      </c>
      <c r="L108" s="29" t="s">
        <v>47</v>
      </c>
      <c r="M108" s="42" t="str">
        <f>VLOOKUP(F108,ListaValores!$C$2:$D$11,2,0)</f>
        <v>Medio Ambiente</v>
      </c>
      <c r="N108" s="27" t="s">
        <v>4</v>
      </c>
      <c r="O108" s="35" t="s">
        <v>211</v>
      </c>
      <c r="P108" s="91" t="s">
        <v>800</v>
      </c>
      <c r="Q108" s="96" t="s">
        <v>820</v>
      </c>
      <c r="R108" s="29"/>
      <c r="S108" s="93" t="s">
        <v>412</v>
      </c>
    </row>
    <row r="109" spans="1:21" ht="25.5" hidden="1" x14ac:dyDescent="0.25">
      <c r="A109" s="38"/>
      <c r="B109" s="38"/>
      <c r="E109" s="71" t="str">
        <f t="shared" si="3"/>
        <v>MA050</v>
      </c>
      <c r="F109" s="27" t="s">
        <v>25</v>
      </c>
      <c r="G109" s="28">
        <v>50</v>
      </c>
      <c r="H109" s="29" t="s">
        <v>128</v>
      </c>
      <c r="I109" s="30" t="s">
        <v>193</v>
      </c>
      <c r="J109" s="31">
        <v>2004</v>
      </c>
      <c r="K109" s="79" t="s">
        <v>290</v>
      </c>
      <c r="L109" s="80" t="s">
        <v>290</v>
      </c>
      <c r="M109" s="42" t="str">
        <f>VLOOKUP(F109,ListaValores!$C$2:$D$11,2,0)</f>
        <v>Medio Ambiente</v>
      </c>
      <c r="N109" s="27" t="s">
        <v>4</v>
      </c>
      <c r="O109" s="35" t="s">
        <v>212</v>
      </c>
      <c r="P109" s="91" t="s">
        <v>801</v>
      </c>
      <c r="Q109" s="96" t="s">
        <v>820</v>
      </c>
      <c r="R109" s="29"/>
      <c r="S109" s="93" t="s">
        <v>413</v>
      </c>
      <c r="T109" s="39"/>
      <c r="U109" s="39"/>
    </row>
    <row r="110" spans="1:21" ht="25.5" hidden="1" x14ac:dyDescent="0.25">
      <c r="A110" s="38"/>
      <c r="B110" s="38"/>
      <c r="E110" s="71" t="str">
        <f t="shared" ref="E110:E159" si="5">F110&amp;TEXT(G110,"000")</f>
        <v>MA061</v>
      </c>
      <c r="F110" s="40" t="s">
        <v>25</v>
      </c>
      <c r="G110" s="41">
        <v>61</v>
      </c>
      <c r="H110" s="42" t="s">
        <v>837</v>
      </c>
      <c r="I110" s="43" t="s">
        <v>851</v>
      </c>
      <c r="J110" s="44">
        <v>2008</v>
      </c>
      <c r="K110" s="79" t="s">
        <v>852</v>
      </c>
      <c r="L110" s="80" t="s">
        <v>232</v>
      </c>
      <c r="M110" s="42" t="s">
        <v>110</v>
      </c>
      <c r="N110" s="40" t="s">
        <v>6</v>
      </c>
      <c r="O110" s="35" t="s">
        <v>853</v>
      </c>
      <c r="P110" s="80" t="s">
        <v>960</v>
      </c>
      <c r="Q110" s="96" t="s">
        <v>821</v>
      </c>
      <c r="R110" s="42" t="s">
        <v>854</v>
      </c>
      <c r="S110" s="93"/>
      <c r="T110" s="39"/>
      <c r="U110" s="39"/>
    </row>
    <row r="111" spans="1:21" ht="25.5" hidden="1" x14ac:dyDescent="0.25">
      <c r="A111" s="38"/>
      <c r="B111" s="38"/>
      <c r="E111" s="71" t="str">
        <f t="shared" si="5"/>
        <v>MA060</v>
      </c>
      <c r="F111" s="27" t="s">
        <v>25</v>
      </c>
      <c r="G111" s="28">
        <v>60</v>
      </c>
      <c r="H111" s="42" t="s">
        <v>837</v>
      </c>
      <c r="I111" s="30" t="s">
        <v>194</v>
      </c>
      <c r="J111" s="31">
        <v>2008</v>
      </c>
      <c r="K111" s="32" t="s">
        <v>55</v>
      </c>
      <c r="L111" s="29" t="s">
        <v>239</v>
      </c>
      <c r="M111" s="42" t="str">
        <f>VLOOKUP(F111,ListaValores!$C$2:$D$11,2,0)</f>
        <v>Medio Ambiente</v>
      </c>
      <c r="N111" s="27" t="s">
        <v>6</v>
      </c>
      <c r="O111" s="35" t="s">
        <v>213</v>
      </c>
      <c r="P111" s="91" t="s">
        <v>802</v>
      </c>
      <c r="Q111" s="96" t="s">
        <v>820</v>
      </c>
      <c r="R111" s="29"/>
      <c r="S111" s="93" t="s">
        <v>414</v>
      </c>
      <c r="T111" s="39"/>
      <c r="U111" s="39"/>
    </row>
    <row r="112" spans="1:21" s="39" customFormat="1" hidden="1" x14ac:dyDescent="0.25">
      <c r="A112" s="38"/>
      <c r="B112" s="38"/>
      <c r="C112" s="38"/>
      <c r="D112" s="38"/>
      <c r="E112" s="71" t="str">
        <f t="shared" si="5"/>
        <v>MA065</v>
      </c>
      <c r="F112" s="27" t="s">
        <v>25</v>
      </c>
      <c r="G112" s="28">
        <v>65</v>
      </c>
      <c r="H112" s="42" t="s">
        <v>837</v>
      </c>
      <c r="I112" s="30" t="s">
        <v>245</v>
      </c>
      <c r="J112" s="31">
        <v>2008</v>
      </c>
      <c r="K112" s="32" t="s">
        <v>201</v>
      </c>
      <c r="L112" s="29" t="s">
        <v>201</v>
      </c>
      <c r="M112" s="42" t="str">
        <f>VLOOKUP(F112,ListaValores!$C$2:$D$11,2,0)</f>
        <v>Medio Ambiente</v>
      </c>
      <c r="N112" s="27" t="s">
        <v>6</v>
      </c>
      <c r="O112" s="35" t="s">
        <v>729</v>
      </c>
      <c r="P112" s="80" t="s">
        <v>961</v>
      </c>
      <c r="Q112" s="96" t="s">
        <v>821</v>
      </c>
      <c r="R112" s="29"/>
      <c r="S112" s="93" t="s">
        <v>415</v>
      </c>
    </row>
    <row r="113" spans="1:21" ht="25.5" hidden="1" x14ac:dyDescent="0.25">
      <c r="A113" s="38"/>
      <c r="B113" s="38"/>
      <c r="E113" s="71" t="str">
        <f t="shared" si="5"/>
        <v>MA070</v>
      </c>
      <c r="F113" s="27" t="s">
        <v>25</v>
      </c>
      <c r="G113" s="28">
        <v>70</v>
      </c>
      <c r="H113" s="42" t="s">
        <v>837</v>
      </c>
      <c r="I113" s="30" t="s">
        <v>195</v>
      </c>
      <c r="J113" s="31">
        <v>2009</v>
      </c>
      <c r="K113" s="32" t="s">
        <v>196</v>
      </c>
      <c r="L113" s="29" t="s">
        <v>232</v>
      </c>
      <c r="M113" s="42" t="str">
        <f>VLOOKUP(F113,ListaValores!$C$2:$D$11,2,0)</f>
        <v>Medio Ambiente</v>
      </c>
      <c r="N113" s="27" t="s">
        <v>6</v>
      </c>
      <c r="O113" s="35" t="s">
        <v>214</v>
      </c>
      <c r="P113" s="91" t="s">
        <v>803</v>
      </c>
      <c r="Q113" s="96" t="s">
        <v>820</v>
      </c>
      <c r="R113" s="29"/>
      <c r="S113" s="93" t="s">
        <v>416</v>
      </c>
      <c r="T113" s="39"/>
      <c r="U113" s="39"/>
    </row>
    <row r="114" spans="1:21" ht="25.5" hidden="1" x14ac:dyDescent="0.25">
      <c r="A114" s="38"/>
      <c r="B114" s="38"/>
      <c r="E114" s="71" t="str">
        <f t="shared" si="5"/>
        <v>MA075</v>
      </c>
      <c r="F114" s="40" t="s">
        <v>25</v>
      </c>
      <c r="G114" s="41">
        <v>75</v>
      </c>
      <c r="H114" s="42" t="s">
        <v>837</v>
      </c>
      <c r="I114" s="43" t="s">
        <v>884</v>
      </c>
      <c r="J114" s="44">
        <v>2010</v>
      </c>
      <c r="K114" s="45" t="s">
        <v>885</v>
      </c>
      <c r="L114" s="42" t="s">
        <v>886</v>
      </c>
      <c r="M114" s="42" t="s">
        <v>95</v>
      </c>
      <c r="N114" s="40" t="s">
        <v>887</v>
      </c>
      <c r="O114" s="35" t="s">
        <v>888</v>
      </c>
      <c r="P114" s="91" t="s">
        <v>889</v>
      </c>
      <c r="Q114" s="96" t="s">
        <v>820</v>
      </c>
      <c r="R114" s="42"/>
      <c r="S114" s="93"/>
      <c r="T114" s="39"/>
      <c r="U114" s="39"/>
    </row>
    <row r="115" spans="1:21" hidden="1" x14ac:dyDescent="0.25">
      <c r="A115" s="38"/>
      <c r="B115" s="38"/>
      <c r="E115" s="71" t="str">
        <f t="shared" si="5"/>
        <v>MA080</v>
      </c>
      <c r="F115" s="27" t="s">
        <v>25</v>
      </c>
      <c r="G115" s="28">
        <v>80</v>
      </c>
      <c r="H115" s="42" t="s">
        <v>837</v>
      </c>
      <c r="I115" s="30" t="s">
        <v>197</v>
      </c>
      <c r="J115" s="31">
        <v>2010</v>
      </c>
      <c r="K115" s="32" t="s">
        <v>151</v>
      </c>
      <c r="L115" s="29" t="s">
        <v>198</v>
      </c>
      <c r="M115" s="42" t="str">
        <f>VLOOKUP(F115,ListaValores!$C$2:$D$11,2,0)</f>
        <v>Medio Ambiente</v>
      </c>
      <c r="N115" s="27" t="s">
        <v>6</v>
      </c>
      <c r="O115" s="35" t="s">
        <v>248</v>
      </c>
      <c r="P115" s="80" t="s">
        <v>962</v>
      </c>
      <c r="Q115" s="96" t="s">
        <v>821</v>
      </c>
      <c r="R115" s="29"/>
      <c r="S115" s="93" t="s">
        <v>417</v>
      </c>
      <c r="T115" s="39"/>
      <c r="U115" s="39"/>
    </row>
    <row r="116" spans="1:21" hidden="1" x14ac:dyDescent="0.25">
      <c r="A116" s="38"/>
      <c r="B116" s="38"/>
      <c r="E116" s="71" t="str">
        <f>F116&amp;TEXT(G116,"000")</f>
        <v>MA085</v>
      </c>
      <c r="F116" s="27" t="s">
        <v>25</v>
      </c>
      <c r="G116" s="28">
        <v>85</v>
      </c>
      <c r="H116" s="42" t="s">
        <v>837</v>
      </c>
      <c r="I116" s="30" t="s">
        <v>492</v>
      </c>
      <c r="J116" s="31">
        <v>2010</v>
      </c>
      <c r="K116" s="79" t="s">
        <v>290</v>
      </c>
      <c r="L116" s="80" t="s">
        <v>290</v>
      </c>
      <c r="M116" s="42" t="str">
        <f>VLOOKUP(F116,ListaValores!$C$2:$D$11,2,0)</f>
        <v>Medio Ambiente</v>
      </c>
      <c r="N116" s="27" t="s">
        <v>6</v>
      </c>
      <c r="O116" s="35" t="s">
        <v>216</v>
      </c>
      <c r="P116" s="80" t="s">
        <v>962</v>
      </c>
      <c r="Q116" s="96" t="s">
        <v>821</v>
      </c>
      <c r="R116" s="29"/>
      <c r="S116" s="93" t="s">
        <v>418</v>
      </c>
      <c r="T116" s="39"/>
      <c r="U116" s="39"/>
    </row>
    <row r="117" spans="1:21" s="39" customFormat="1" ht="25.5" hidden="1" x14ac:dyDescent="0.25">
      <c r="A117" s="38"/>
      <c r="B117" s="38"/>
      <c r="C117" s="38"/>
      <c r="D117" s="38"/>
      <c r="E117" s="71" t="str">
        <f t="shared" si="5"/>
        <v>MA090</v>
      </c>
      <c r="F117" s="27" t="s">
        <v>25</v>
      </c>
      <c r="G117" s="28">
        <v>90</v>
      </c>
      <c r="H117" s="42" t="s">
        <v>837</v>
      </c>
      <c r="I117" s="30" t="s">
        <v>199</v>
      </c>
      <c r="J117" s="31">
        <v>2010</v>
      </c>
      <c r="K117" s="79" t="s">
        <v>290</v>
      </c>
      <c r="L117" s="80" t="s">
        <v>290</v>
      </c>
      <c r="M117" s="42" t="str">
        <f>VLOOKUP(F117,ListaValores!$C$2:$D$11,2,0)</f>
        <v>Medio Ambiente</v>
      </c>
      <c r="N117" s="27" t="s">
        <v>4</v>
      </c>
      <c r="O117" s="35" t="s">
        <v>215</v>
      </c>
      <c r="P117" s="91" t="s">
        <v>804</v>
      </c>
      <c r="Q117" s="96" t="s">
        <v>820</v>
      </c>
      <c r="R117" s="29"/>
      <c r="S117" s="93" t="s">
        <v>419</v>
      </c>
    </row>
    <row r="118" spans="1:21" hidden="1" x14ac:dyDescent="0.25">
      <c r="A118" s="38"/>
      <c r="B118" s="38"/>
      <c r="E118" s="71" t="str">
        <f t="shared" si="5"/>
        <v>MA095</v>
      </c>
      <c r="F118" s="27" t="s">
        <v>25</v>
      </c>
      <c r="G118" s="28">
        <v>95</v>
      </c>
      <c r="H118" s="42" t="s">
        <v>837</v>
      </c>
      <c r="I118" s="30" t="s">
        <v>493</v>
      </c>
      <c r="J118" s="31">
        <v>2010</v>
      </c>
      <c r="K118" s="79" t="s">
        <v>290</v>
      </c>
      <c r="L118" s="80" t="s">
        <v>290</v>
      </c>
      <c r="M118" s="42" t="str">
        <f>VLOOKUP(F118,ListaValores!$C$2:$D$11,2,0)</f>
        <v>Medio Ambiente</v>
      </c>
      <c r="N118" s="27" t="s">
        <v>6</v>
      </c>
      <c r="O118" s="35" t="s">
        <v>217</v>
      </c>
      <c r="P118" s="80" t="s">
        <v>962</v>
      </c>
      <c r="Q118" s="96" t="s">
        <v>821</v>
      </c>
      <c r="R118" s="29"/>
      <c r="S118" s="93" t="s">
        <v>420</v>
      </c>
      <c r="T118" s="39"/>
      <c r="U118" s="39"/>
    </row>
    <row r="119" spans="1:21" s="39" customFormat="1" ht="25.5" hidden="1" x14ac:dyDescent="0.25">
      <c r="A119" s="38"/>
      <c r="B119" s="38"/>
      <c r="C119" s="38"/>
      <c r="D119" s="38"/>
      <c r="E119" s="71" t="str">
        <f t="shared" si="5"/>
        <v>MA096</v>
      </c>
      <c r="F119" s="40" t="s">
        <v>25</v>
      </c>
      <c r="G119" s="41">
        <v>96</v>
      </c>
      <c r="H119" s="42" t="s">
        <v>837</v>
      </c>
      <c r="I119" s="43" t="s">
        <v>863</v>
      </c>
      <c r="J119" s="44">
        <v>2010</v>
      </c>
      <c r="K119" s="79" t="s">
        <v>864</v>
      </c>
      <c r="L119" s="80" t="s">
        <v>865</v>
      </c>
      <c r="M119" s="42" t="s">
        <v>95</v>
      </c>
      <c r="N119" s="40" t="s">
        <v>6</v>
      </c>
      <c r="O119" s="35" t="s">
        <v>866</v>
      </c>
      <c r="P119" s="80" t="s">
        <v>961</v>
      </c>
      <c r="Q119" s="96" t="s">
        <v>821</v>
      </c>
      <c r="R119" s="42"/>
      <c r="S119" s="93"/>
    </row>
    <row r="120" spans="1:21" hidden="1" x14ac:dyDescent="0.25">
      <c r="A120" s="38"/>
      <c r="B120" s="38"/>
      <c r="E120" s="71" t="str">
        <f t="shared" si="5"/>
        <v>MA100</v>
      </c>
      <c r="F120" s="27" t="s">
        <v>25</v>
      </c>
      <c r="G120" s="28">
        <v>100</v>
      </c>
      <c r="H120" s="42" t="s">
        <v>837</v>
      </c>
      <c r="I120" s="30" t="s">
        <v>292</v>
      </c>
      <c r="J120" s="31">
        <v>2011</v>
      </c>
      <c r="K120" s="32" t="s">
        <v>55</v>
      </c>
      <c r="L120" s="29" t="s">
        <v>239</v>
      </c>
      <c r="M120" s="42" t="str">
        <f>VLOOKUP(F120,ListaValores!$C$2:$D$11,2,0)</f>
        <v>Medio Ambiente</v>
      </c>
      <c r="N120" s="27" t="s">
        <v>6</v>
      </c>
      <c r="O120" s="35" t="s">
        <v>219</v>
      </c>
      <c r="P120" s="91" t="s">
        <v>805</v>
      </c>
      <c r="Q120" s="96" t="s">
        <v>820</v>
      </c>
      <c r="R120" s="29"/>
      <c r="S120" s="93" t="s">
        <v>421</v>
      </c>
      <c r="T120" s="39"/>
      <c r="U120" s="39"/>
    </row>
    <row r="121" spans="1:21" s="39" customFormat="1" ht="25.5" hidden="1" x14ac:dyDescent="0.25">
      <c r="A121" s="38"/>
      <c r="B121" s="38"/>
      <c r="C121" s="38"/>
      <c r="D121" s="38"/>
      <c r="E121" s="81" t="str">
        <f>F121&amp;TEXT(G121,"000")</f>
        <v>MA105</v>
      </c>
      <c r="F121" s="82" t="s">
        <v>25</v>
      </c>
      <c r="G121" s="83">
        <v>105</v>
      </c>
      <c r="H121" s="42" t="s">
        <v>837</v>
      </c>
      <c r="I121" s="85" t="s">
        <v>812</v>
      </c>
      <c r="J121" s="88">
        <v>2011</v>
      </c>
      <c r="K121" s="92" t="s">
        <v>813</v>
      </c>
      <c r="L121" s="84" t="s">
        <v>232</v>
      </c>
      <c r="M121" s="84" t="str">
        <f>VLOOKUP(F121,ListaValores!$C$2:$D$11,2,0)</f>
        <v>Medio Ambiente</v>
      </c>
      <c r="N121" s="82" t="s">
        <v>6</v>
      </c>
      <c r="O121" s="89" t="s">
        <v>830</v>
      </c>
      <c r="P121" s="80" t="s">
        <v>960</v>
      </c>
      <c r="Q121" s="96" t="s">
        <v>821</v>
      </c>
      <c r="R121" s="84"/>
      <c r="S121" s="93" t="s">
        <v>815</v>
      </c>
    </row>
    <row r="122" spans="1:21" s="39" customFormat="1" ht="25.5" hidden="1" x14ac:dyDescent="0.25">
      <c r="A122" s="38"/>
      <c r="B122" s="38"/>
      <c r="C122" s="38"/>
      <c r="D122" s="38"/>
      <c r="E122" s="71" t="str">
        <f t="shared" si="5"/>
        <v>MA110</v>
      </c>
      <c r="F122" s="27" t="s">
        <v>25</v>
      </c>
      <c r="G122" s="28">
        <v>110</v>
      </c>
      <c r="H122" s="42" t="s">
        <v>837</v>
      </c>
      <c r="I122" s="30" t="s">
        <v>200</v>
      </c>
      <c r="J122" s="31">
        <v>2011</v>
      </c>
      <c r="K122" s="32" t="s">
        <v>55</v>
      </c>
      <c r="L122" s="29" t="s">
        <v>239</v>
      </c>
      <c r="M122" s="42" t="str">
        <f>VLOOKUP(F122,ListaValores!$C$2:$D$11,2,0)</f>
        <v>Medio Ambiente</v>
      </c>
      <c r="N122" s="27" t="s">
        <v>6</v>
      </c>
      <c r="O122" s="35" t="s">
        <v>220</v>
      </c>
      <c r="P122" s="91" t="s">
        <v>806</v>
      </c>
      <c r="Q122" s="96" t="s">
        <v>820</v>
      </c>
      <c r="R122" s="29"/>
      <c r="S122" s="93" t="s">
        <v>422</v>
      </c>
    </row>
    <row r="123" spans="1:21" hidden="1" x14ac:dyDescent="0.25">
      <c r="A123" s="38"/>
      <c r="B123" s="38"/>
      <c r="E123" s="71" t="str">
        <f t="shared" si="5"/>
        <v>MA115</v>
      </c>
      <c r="F123" s="40" t="s">
        <v>25</v>
      </c>
      <c r="G123" s="41">
        <v>115</v>
      </c>
      <c r="H123" s="42" t="s">
        <v>123</v>
      </c>
      <c r="I123" s="43" t="s">
        <v>878</v>
      </c>
      <c r="J123" s="44">
        <v>2012</v>
      </c>
      <c r="K123" s="45" t="s">
        <v>879</v>
      </c>
      <c r="L123" s="42" t="s">
        <v>879</v>
      </c>
      <c r="M123" s="42" t="s">
        <v>95</v>
      </c>
      <c r="N123" s="40" t="s">
        <v>6</v>
      </c>
      <c r="O123" s="35" t="s">
        <v>880</v>
      </c>
      <c r="P123" s="91" t="s">
        <v>881</v>
      </c>
      <c r="Q123" s="96" t="s">
        <v>820</v>
      </c>
      <c r="R123" s="42"/>
      <c r="S123" s="93"/>
      <c r="T123" s="39"/>
      <c r="U123" s="39"/>
    </row>
    <row r="124" spans="1:21" ht="38.25" hidden="1" x14ac:dyDescent="0.25">
      <c r="A124" s="38"/>
      <c r="B124" s="38"/>
      <c r="E124" s="71" t="str">
        <f t="shared" si="5"/>
        <v>MA120</v>
      </c>
      <c r="F124" s="40" t="s">
        <v>25</v>
      </c>
      <c r="G124" s="41">
        <v>120</v>
      </c>
      <c r="H124" s="42" t="s">
        <v>837</v>
      </c>
      <c r="I124" s="43" t="s">
        <v>867</v>
      </c>
      <c r="J124" s="44">
        <v>2013</v>
      </c>
      <c r="K124" s="45" t="s">
        <v>868</v>
      </c>
      <c r="L124" s="42" t="s">
        <v>239</v>
      </c>
      <c r="M124" s="42" t="s">
        <v>95</v>
      </c>
      <c r="N124" s="40" t="s">
        <v>6</v>
      </c>
      <c r="O124" s="35" t="s">
        <v>869</v>
      </c>
      <c r="P124" s="80" t="s">
        <v>963</v>
      </c>
      <c r="Q124" s="96" t="s">
        <v>821</v>
      </c>
      <c r="R124" s="42" t="s">
        <v>870</v>
      </c>
      <c r="S124" s="93"/>
      <c r="T124" s="39"/>
      <c r="U124" s="39"/>
    </row>
    <row r="125" spans="1:21" hidden="1" x14ac:dyDescent="0.25">
      <c r="A125" s="38"/>
      <c r="B125" s="38"/>
      <c r="E125" s="71" t="str">
        <f t="shared" si="5"/>
        <v>MA125</v>
      </c>
      <c r="F125" s="27" t="s">
        <v>25</v>
      </c>
      <c r="G125" s="28">
        <v>125</v>
      </c>
      <c r="H125" s="42" t="s">
        <v>837</v>
      </c>
      <c r="I125" s="30" t="s">
        <v>246</v>
      </c>
      <c r="J125" s="31">
        <v>2013</v>
      </c>
      <c r="K125" s="45" t="s">
        <v>201</v>
      </c>
      <c r="L125" s="29" t="s">
        <v>201</v>
      </c>
      <c r="M125" s="42" t="str">
        <f>VLOOKUP(F125,ListaValores!$C$2:$D$11,2,0)</f>
        <v>Medio Ambiente</v>
      </c>
      <c r="N125" s="27" t="s">
        <v>6</v>
      </c>
      <c r="O125" s="35" t="s">
        <v>221</v>
      </c>
      <c r="P125" s="80" t="s">
        <v>961</v>
      </c>
      <c r="Q125" s="96" t="s">
        <v>821</v>
      </c>
      <c r="R125" s="29"/>
      <c r="S125" s="93" t="s">
        <v>423</v>
      </c>
      <c r="T125" s="39"/>
      <c r="U125" s="39"/>
    </row>
    <row r="126" spans="1:21" hidden="1" x14ac:dyDescent="0.25">
      <c r="A126" s="38"/>
      <c r="B126" s="38"/>
      <c r="E126" s="71" t="str">
        <f t="shared" si="5"/>
        <v>MA130</v>
      </c>
      <c r="F126" s="27" t="s">
        <v>25</v>
      </c>
      <c r="G126" s="28">
        <v>130</v>
      </c>
      <c r="H126" s="42" t="s">
        <v>837</v>
      </c>
      <c r="I126" s="30" t="s">
        <v>202</v>
      </c>
      <c r="J126" s="31">
        <v>2013</v>
      </c>
      <c r="K126" s="79" t="s">
        <v>290</v>
      </c>
      <c r="L126" s="42" t="s">
        <v>149</v>
      </c>
      <c r="M126" s="42" t="str">
        <f>VLOOKUP(F126,ListaValores!$C$2:$D$11,2,0)</f>
        <v>Medio Ambiente</v>
      </c>
      <c r="N126" s="27" t="s">
        <v>6</v>
      </c>
      <c r="O126" s="35" t="s">
        <v>823</v>
      </c>
      <c r="P126" s="91" t="s">
        <v>807</v>
      </c>
      <c r="Q126" s="96" t="s">
        <v>820</v>
      </c>
      <c r="R126" s="29"/>
      <c r="S126" s="93" t="s">
        <v>424</v>
      </c>
      <c r="T126" s="39"/>
      <c r="U126" s="39"/>
    </row>
    <row r="127" spans="1:21" s="39" customFormat="1" hidden="1" x14ac:dyDescent="0.25">
      <c r="A127" s="38"/>
      <c r="B127" s="38"/>
      <c r="C127" s="38"/>
      <c r="D127" s="38"/>
      <c r="E127" s="71" t="str">
        <f t="shared" si="5"/>
        <v>MA140</v>
      </c>
      <c r="F127" s="27" t="s">
        <v>25</v>
      </c>
      <c r="G127" s="28">
        <v>140</v>
      </c>
      <c r="H127" s="29" t="s">
        <v>123</v>
      </c>
      <c r="I127" s="30" t="s">
        <v>294</v>
      </c>
      <c r="J127" s="31">
        <v>2013</v>
      </c>
      <c r="K127" s="42" t="s">
        <v>239</v>
      </c>
      <c r="L127" s="29" t="s">
        <v>239</v>
      </c>
      <c r="M127" s="42" t="str">
        <f>VLOOKUP(F127,ListaValores!$C$2:$D$11,2,0)</f>
        <v>Medio Ambiente</v>
      </c>
      <c r="N127" s="27" t="s">
        <v>4</v>
      </c>
      <c r="O127" s="35" t="s">
        <v>222</v>
      </c>
      <c r="P127" s="80" t="s">
        <v>964</v>
      </c>
      <c r="Q127" s="96" t="s">
        <v>821</v>
      </c>
      <c r="R127" s="29"/>
      <c r="S127" s="93" t="s">
        <v>425</v>
      </c>
    </row>
    <row r="128" spans="1:21" hidden="1" x14ac:dyDescent="0.25">
      <c r="A128" s="38"/>
      <c r="B128" s="38"/>
      <c r="E128" s="71" t="str">
        <f t="shared" si="5"/>
        <v>MA150</v>
      </c>
      <c r="F128" s="27" t="s">
        <v>25</v>
      </c>
      <c r="G128" s="28">
        <v>150</v>
      </c>
      <c r="H128" s="42" t="s">
        <v>837</v>
      </c>
      <c r="I128" s="30" t="s">
        <v>293</v>
      </c>
      <c r="J128" s="31">
        <v>2014</v>
      </c>
      <c r="K128" s="32" t="s">
        <v>203</v>
      </c>
      <c r="L128" s="80" t="s">
        <v>290</v>
      </c>
      <c r="M128" s="42" t="str">
        <f>VLOOKUP(F128,ListaValores!$C$2:$D$11,2,0)</f>
        <v>Medio Ambiente</v>
      </c>
      <c r="N128" s="27" t="s">
        <v>6</v>
      </c>
      <c r="O128" s="35" t="s">
        <v>223</v>
      </c>
      <c r="P128" s="91" t="s">
        <v>808</v>
      </c>
      <c r="Q128" s="96" t="s">
        <v>820</v>
      </c>
      <c r="R128" s="29"/>
      <c r="S128" s="93" t="s">
        <v>426</v>
      </c>
      <c r="T128" s="39"/>
      <c r="U128" s="39"/>
    </row>
    <row r="129" spans="1:21" hidden="1" x14ac:dyDescent="0.25">
      <c r="A129" s="38"/>
      <c r="B129" s="38"/>
      <c r="E129" s="71" t="str">
        <f t="shared" si="5"/>
        <v>MA151</v>
      </c>
      <c r="F129" s="40" t="s">
        <v>25</v>
      </c>
      <c r="G129" s="41">
        <v>151</v>
      </c>
      <c r="H129" s="42" t="s">
        <v>121</v>
      </c>
      <c r="I129" s="43" t="s">
        <v>871</v>
      </c>
      <c r="J129" s="44">
        <v>2014</v>
      </c>
      <c r="K129" s="45" t="s">
        <v>872</v>
      </c>
      <c r="L129" s="42" t="s">
        <v>239</v>
      </c>
      <c r="M129" s="42" t="s">
        <v>95</v>
      </c>
      <c r="N129" s="40" t="s">
        <v>4</v>
      </c>
      <c r="O129" s="91" t="s">
        <v>978</v>
      </c>
      <c r="P129" s="80" t="s">
        <v>965</v>
      </c>
      <c r="Q129" s="96" t="s">
        <v>821</v>
      </c>
      <c r="R129" s="42"/>
      <c r="S129" s="93"/>
      <c r="T129" s="39"/>
      <c r="U129" s="39"/>
    </row>
    <row r="130" spans="1:21" s="39" customFormat="1" ht="25.5" hidden="1" x14ac:dyDescent="0.25">
      <c r="A130" s="38"/>
      <c r="B130" s="38"/>
      <c r="C130" s="38"/>
      <c r="D130" s="38"/>
      <c r="E130" s="71" t="str">
        <f t="shared" si="5"/>
        <v>MA160</v>
      </c>
      <c r="F130" s="27" t="s">
        <v>25</v>
      </c>
      <c r="G130" s="28">
        <v>160</v>
      </c>
      <c r="H130" s="42" t="s">
        <v>837</v>
      </c>
      <c r="I130" s="30" t="s">
        <v>336</v>
      </c>
      <c r="J130" s="31">
        <v>2014</v>
      </c>
      <c r="K130" s="32" t="s">
        <v>234</v>
      </c>
      <c r="L130" s="29" t="s">
        <v>234</v>
      </c>
      <c r="M130" s="42" t="str">
        <f>VLOOKUP(F130,ListaValores!$C$2:$D$11,2,0)</f>
        <v>Medio Ambiente</v>
      </c>
      <c r="N130" s="27" t="s">
        <v>4</v>
      </c>
      <c r="O130" s="35" t="s">
        <v>224</v>
      </c>
      <c r="P130" s="91" t="s">
        <v>809</v>
      </c>
      <c r="Q130" s="96" t="s">
        <v>820</v>
      </c>
      <c r="R130" s="29"/>
      <c r="S130" s="93" t="s">
        <v>427</v>
      </c>
    </row>
    <row r="131" spans="1:21" s="39" customFormat="1" ht="38.25" hidden="1" x14ac:dyDescent="0.25">
      <c r="A131" s="38"/>
      <c r="B131" s="38"/>
      <c r="C131" s="38"/>
      <c r="D131" s="38"/>
      <c r="E131" s="71" t="str">
        <f t="shared" si="5"/>
        <v>MA170</v>
      </c>
      <c r="F131" s="27" t="s">
        <v>25</v>
      </c>
      <c r="G131" s="28">
        <v>170</v>
      </c>
      <c r="H131" s="42" t="s">
        <v>837</v>
      </c>
      <c r="I131" s="30" t="s">
        <v>204</v>
      </c>
      <c r="J131" s="31">
        <v>2015</v>
      </c>
      <c r="K131" s="32" t="s">
        <v>205</v>
      </c>
      <c r="L131" s="29" t="s">
        <v>239</v>
      </c>
      <c r="M131" s="42" t="str">
        <f>VLOOKUP(F131,ListaValores!$C$2:$D$11,2,0)</f>
        <v>Medio Ambiente</v>
      </c>
      <c r="N131" s="27" t="s">
        <v>6</v>
      </c>
      <c r="O131" s="35" t="s">
        <v>225</v>
      </c>
      <c r="P131" s="80" t="s">
        <v>958</v>
      </c>
      <c r="Q131" s="96" t="s">
        <v>821</v>
      </c>
      <c r="R131" s="29"/>
      <c r="S131" s="93" t="s">
        <v>428</v>
      </c>
    </row>
    <row r="132" spans="1:21" hidden="1" x14ac:dyDescent="0.25">
      <c r="A132" s="38"/>
      <c r="B132" s="38"/>
      <c r="E132" s="71" t="str">
        <f t="shared" si="5"/>
        <v>MA175</v>
      </c>
      <c r="F132" s="40" t="s">
        <v>25</v>
      </c>
      <c r="G132" s="41">
        <v>175</v>
      </c>
      <c r="H132" s="42" t="s">
        <v>123</v>
      </c>
      <c r="I132" s="43" t="s">
        <v>999</v>
      </c>
      <c r="J132" s="44">
        <v>2015</v>
      </c>
      <c r="K132" s="45" t="s">
        <v>879</v>
      </c>
      <c r="L132" s="42" t="s">
        <v>879</v>
      </c>
      <c r="M132" s="42" t="s">
        <v>95</v>
      </c>
      <c r="N132" s="40" t="s">
        <v>6</v>
      </c>
      <c r="O132" s="35" t="s">
        <v>882</v>
      </c>
      <c r="P132" s="99" t="s">
        <v>883</v>
      </c>
      <c r="Q132" s="96" t="s">
        <v>820</v>
      </c>
      <c r="R132" s="42"/>
      <c r="S132" s="93"/>
      <c r="T132" s="39"/>
      <c r="U132" s="39"/>
    </row>
    <row r="133" spans="1:21" s="39" customFormat="1" hidden="1" x14ac:dyDescent="0.25">
      <c r="A133" s="38"/>
      <c r="B133" s="38"/>
      <c r="C133" s="38"/>
      <c r="D133" s="38"/>
      <c r="E133" s="71" t="str">
        <f t="shared" si="5"/>
        <v>MA176</v>
      </c>
      <c r="F133" s="40" t="s">
        <v>25</v>
      </c>
      <c r="G133" s="41">
        <v>176</v>
      </c>
      <c r="H133" s="42" t="s">
        <v>123</v>
      </c>
      <c r="I133" s="43" t="s">
        <v>895</v>
      </c>
      <c r="J133" s="44">
        <v>2015</v>
      </c>
      <c r="K133" s="45" t="s">
        <v>896</v>
      </c>
      <c r="L133" s="42" t="s">
        <v>896</v>
      </c>
      <c r="M133" s="42" t="s">
        <v>95</v>
      </c>
      <c r="N133" s="40" t="s">
        <v>6</v>
      </c>
      <c r="O133" s="35" t="s">
        <v>897</v>
      </c>
      <c r="P133" s="99" t="s">
        <v>898</v>
      </c>
      <c r="Q133" s="96" t="s">
        <v>899</v>
      </c>
      <c r="R133" s="42"/>
      <c r="S133" s="93"/>
    </row>
    <row r="134" spans="1:21" s="39" customFormat="1" hidden="1" x14ac:dyDescent="0.25">
      <c r="A134" s="38"/>
      <c r="B134" s="38"/>
      <c r="C134" s="38"/>
      <c r="D134" s="38"/>
      <c r="E134" s="71" t="str">
        <f t="shared" si="5"/>
        <v>MA180</v>
      </c>
      <c r="F134" s="27" t="s">
        <v>25</v>
      </c>
      <c r="G134" s="28">
        <v>180</v>
      </c>
      <c r="H134" s="42" t="s">
        <v>837</v>
      </c>
      <c r="I134" s="30" t="s">
        <v>206</v>
      </c>
      <c r="J134" s="31">
        <v>2015</v>
      </c>
      <c r="K134" s="32" t="s">
        <v>55</v>
      </c>
      <c r="L134" s="29" t="s">
        <v>239</v>
      </c>
      <c r="M134" s="42" t="str">
        <f>VLOOKUP(F134,ListaValores!$C$2:$D$11,2,0)</f>
        <v>Medio Ambiente</v>
      </c>
      <c r="N134" s="27" t="s">
        <v>6</v>
      </c>
      <c r="O134" s="35" t="s">
        <v>226</v>
      </c>
      <c r="P134" s="91" t="s">
        <v>805</v>
      </c>
      <c r="Q134" s="96" t="s">
        <v>820</v>
      </c>
      <c r="R134" s="29"/>
      <c r="S134" s="93" t="s">
        <v>429</v>
      </c>
    </row>
    <row r="135" spans="1:21" hidden="1" x14ac:dyDescent="0.25">
      <c r="A135" s="38"/>
      <c r="B135" s="38"/>
      <c r="E135" s="71" t="str">
        <f t="shared" si="5"/>
        <v>MA185</v>
      </c>
      <c r="F135" s="40" t="s">
        <v>25</v>
      </c>
      <c r="G135" s="41">
        <v>185</v>
      </c>
      <c r="H135" s="42" t="s">
        <v>150</v>
      </c>
      <c r="I135" s="43" t="s">
        <v>859</v>
      </c>
      <c r="J135" s="44">
        <v>2015</v>
      </c>
      <c r="K135" s="45" t="s">
        <v>860</v>
      </c>
      <c r="L135" s="42" t="s">
        <v>861</v>
      </c>
      <c r="M135" s="42" t="s">
        <v>110</v>
      </c>
      <c r="N135" s="40" t="s">
        <v>6</v>
      </c>
      <c r="O135" s="35" t="s">
        <v>862</v>
      </c>
      <c r="P135" s="80" t="s">
        <v>966</v>
      </c>
      <c r="Q135" s="96" t="s">
        <v>821</v>
      </c>
      <c r="R135" s="42"/>
      <c r="S135" s="93"/>
      <c r="T135" s="39"/>
      <c r="U135" s="39"/>
    </row>
    <row r="136" spans="1:21" s="39" customFormat="1" ht="38.25" hidden="1" x14ac:dyDescent="0.25">
      <c r="A136" s="38"/>
      <c r="B136" s="38"/>
      <c r="C136" s="38"/>
      <c r="D136" s="38"/>
      <c r="E136" s="71" t="str">
        <f t="shared" si="5"/>
        <v>MA186</v>
      </c>
      <c r="F136" s="40" t="s">
        <v>25</v>
      </c>
      <c r="G136" s="41">
        <v>186</v>
      </c>
      <c r="H136" s="42" t="s">
        <v>837</v>
      </c>
      <c r="I136" s="43" t="s">
        <v>875</v>
      </c>
      <c r="J136" s="44">
        <v>2015</v>
      </c>
      <c r="K136" s="45" t="s">
        <v>876</v>
      </c>
      <c r="L136" s="42" t="s">
        <v>239</v>
      </c>
      <c r="M136" s="42" t="s">
        <v>95</v>
      </c>
      <c r="N136" s="40" t="s">
        <v>6</v>
      </c>
      <c r="O136" s="35" t="s">
        <v>877</v>
      </c>
      <c r="P136" s="91" t="s">
        <v>290</v>
      </c>
      <c r="Q136" s="96" t="s">
        <v>821</v>
      </c>
      <c r="R136" s="42"/>
      <c r="S136" s="93"/>
    </row>
    <row r="137" spans="1:21" hidden="1" x14ac:dyDescent="0.25">
      <c r="A137" s="38"/>
      <c r="B137" s="38"/>
      <c r="E137" s="71" t="str">
        <f t="shared" si="5"/>
        <v>MA190</v>
      </c>
      <c r="F137" s="27" t="s">
        <v>25</v>
      </c>
      <c r="G137" s="28">
        <v>190</v>
      </c>
      <c r="H137" s="42" t="s">
        <v>121</v>
      </c>
      <c r="I137" s="30" t="s">
        <v>337</v>
      </c>
      <c r="J137" s="31">
        <v>2016</v>
      </c>
      <c r="K137" s="32" t="s">
        <v>55</v>
      </c>
      <c r="L137" s="29" t="s">
        <v>239</v>
      </c>
      <c r="M137" s="42" t="str">
        <f>VLOOKUP(F137,ListaValores!$C$2:$D$11,2,0)</f>
        <v>Medio Ambiente</v>
      </c>
      <c r="N137" s="27" t="s">
        <v>4</v>
      </c>
      <c r="O137" s="35" t="s">
        <v>227</v>
      </c>
      <c r="P137" s="91" t="s">
        <v>810</v>
      </c>
      <c r="Q137" s="96" t="s">
        <v>820</v>
      </c>
      <c r="R137" s="29"/>
      <c r="S137" s="93" t="s">
        <v>430</v>
      </c>
      <c r="T137" s="39"/>
      <c r="U137" s="39"/>
    </row>
    <row r="138" spans="1:21" s="39" customFormat="1" hidden="1" x14ac:dyDescent="0.25">
      <c r="A138" s="38"/>
      <c r="B138" s="38"/>
      <c r="C138" s="38"/>
      <c r="D138" s="38"/>
      <c r="E138" s="71" t="str">
        <f t="shared" si="5"/>
        <v>MA191</v>
      </c>
      <c r="F138" s="40" t="s">
        <v>25</v>
      </c>
      <c r="G138" s="41">
        <v>191</v>
      </c>
      <c r="H138" s="42" t="s">
        <v>123</v>
      </c>
      <c r="I138" s="43" t="s">
        <v>890</v>
      </c>
      <c r="J138" s="44">
        <v>2016</v>
      </c>
      <c r="K138" s="45" t="s">
        <v>891</v>
      </c>
      <c r="L138" s="42" t="s">
        <v>892</v>
      </c>
      <c r="M138" s="42" t="s">
        <v>95</v>
      </c>
      <c r="N138" s="40" t="s">
        <v>6</v>
      </c>
      <c r="O138" s="35" t="s">
        <v>893</v>
      </c>
      <c r="P138" s="91" t="s">
        <v>894</v>
      </c>
      <c r="Q138" s="96" t="s">
        <v>820</v>
      </c>
      <c r="R138" s="42"/>
      <c r="S138" s="93"/>
    </row>
    <row r="139" spans="1:21" hidden="1" x14ac:dyDescent="0.25">
      <c r="A139" s="38"/>
      <c r="B139" s="38"/>
      <c r="E139" s="71" t="str">
        <f t="shared" si="5"/>
        <v>MA200</v>
      </c>
      <c r="F139" s="27" t="s">
        <v>25</v>
      </c>
      <c r="G139" s="28">
        <v>200</v>
      </c>
      <c r="H139" s="29" t="s">
        <v>123</v>
      </c>
      <c r="I139" s="30" t="s">
        <v>338</v>
      </c>
      <c r="J139" s="31">
        <v>2016</v>
      </c>
      <c r="K139" s="32" t="s">
        <v>244</v>
      </c>
      <c r="L139" s="80" t="s">
        <v>290</v>
      </c>
      <c r="M139" s="42" t="str">
        <f>VLOOKUP(F139,ListaValores!$C$2:$D$11,2,0)</f>
        <v>Medio Ambiente</v>
      </c>
      <c r="N139" s="27" t="s">
        <v>4</v>
      </c>
      <c r="O139" s="35" t="s">
        <v>298</v>
      </c>
      <c r="P139" s="91" t="s">
        <v>811</v>
      </c>
      <c r="Q139" s="96" t="s">
        <v>820</v>
      </c>
      <c r="R139" s="29"/>
      <c r="S139" s="93" t="s">
        <v>431</v>
      </c>
      <c r="T139" s="39"/>
      <c r="U139" s="39"/>
    </row>
    <row r="140" spans="1:21" hidden="1" x14ac:dyDescent="0.25">
      <c r="A140" s="38"/>
      <c r="B140" s="38"/>
      <c r="E140" s="71" t="str">
        <f t="shared" si="5"/>
        <v>MA210</v>
      </c>
      <c r="F140" s="40" t="s">
        <v>25</v>
      </c>
      <c r="G140" s="41">
        <v>210</v>
      </c>
      <c r="H140" s="42" t="s">
        <v>121</v>
      </c>
      <c r="I140" s="43" t="s">
        <v>873</v>
      </c>
      <c r="J140" s="44">
        <v>2016</v>
      </c>
      <c r="K140" s="45" t="s">
        <v>872</v>
      </c>
      <c r="L140" s="42" t="s">
        <v>239</v>
      </c>
      <c r="M140" s="42" t="s">
        <v>111</v>
      </c>
      <c r="N140" s="40" t="s">
        <v>4</v>
      </c>
      <c r="O140" s="35" t="s">
        <v>874</v>
      </c>
      <c r="P140" s="91"/>
      <c r="Q140" s="96" t="s">
        <v>821</v>
      </c>
      <c r="R140" s="42"/>
      <c r="S140" s="93"/>
      <c r="T140" s="39"/>
      <c r="U140" s="39"/>
    </row>
    <row r="141" spans="1:21" hidden="1" x14ac:dyDescent="0.25">
      <c r="A141" s="38"/>
      <c r="B141" s="38"/>
      <c r="E141" s="71" t="str">
        <f t="shared" si="5"/>
        <v>MA230</v>
      </c>
      <c r="F141" s="27" t="s">
        <v>25</v>
      </c>
      <c r="G141" s="28">
        <v>230</v>
      </c>
      <c r="H141" s="42" t="s">
        <v>837</v>
      </c>
      <c r="I141" s="30" t="s">
        <v>275</v>
      </c>
      <c r="J141" s="31">
        <v>2016</v>
      </c>
      <c r="K141" s="32" t="s">
        <v>207</v>
      </c>
      <c r="L141" s="29" t="s">
        <v>239</v>
      </c>
      <c r="M141" s="42" t="str">
        <f>VLOOKUP(F141,ListaValores!$C$2:$D$11,2,0)</f>
        <v>Medio Ambiente</v>
      </c>
      <c r="N141" s="27" t="s">
        <v>6</v>
      </c>
      <c r="O141" s="35" t="s">
        <v>218</v>
      </c>
      <c r="P141" s="80" t="s">
        <v>967</v>
      </c>
      <c r="Q141" s="96" t="s">
        <v>821</v>
      </c>
      <c r="R141" s="29"/>
      <c r="S141" s="93" t="s">
        <v>432</v>
      </c>
      <c r="T141" s="39"/>
      <c r="U141" s="39"/>
    </row>
    <row r="142" spans="1:21" s="39" customFormat="1" hidden="1" x14ac:dyDescent="0.25">
      <c r="A142" s="38"/>
      <c r="B142" s="38"/>
      <c r="C142" s="38"/>
      <c r="D142" s="38"/>
      <c r="E142" s="71" t="str">
        <f>F142&amp;TEXT(G142,"000")</f>
        <v>MA231</v>
      </c>
      <c r="F142" s="40" t="s">
        <v>25</v>
      </c>
      <c r="G142" s="41">
        <v>231</v>
      </c>
      <c r="H142" s="42" t="s">
        <v>837</v>
      </c>
      <c r="I142" s="43" t="s">
        <v>1001</v>
      </c>
      <c r="J142" s="44"/>
      <c r="K142" s="45" t="s">
        <v>201</v>
      </c>
      <c r="L142" s="42" t="s">
        <v>201</v>
      </c>
      <c r="M142" s="42" t="str">
        <f>VLOOKUP(F142,ListaValores!$C$2:$D$11,2,0)</f>
        <v>Medio Ambiente</v>
      </c>
      <c r="N142" s="40" t="s">
        <v>6</v>
      </c>
      <c r="O142" s="91" t="s">
        <v>1002</v>
      </c>
      <c r="P142" s="80" t="s">
        <v>290</v>
      </c>
      <c r="Q142" s="96"/>
      <c r="R142" s="42"/>
      <c r="S142" s="93"/>
    </row>
    <row r="143" spans="1:21" s="39" customFormat="1" hidden="1" x14ac:dyDescent="0.25">
      <c r="A143" s="38"/>
      <c r="B143" s="38"/>
      <c r="C143" s="38"/>
      <c r="D143" s="38"/>
      <c r="E143" s="71" t="str">
        <f>F143&amp;TEXT(G143,"000")</f>
        <v>MA232</v>
      </c>
      <c r="F143" s="40" t="s">
        <v>25</v>
      </c>
      <c r="G143" s="41">
        <v>232</v>
      </c>
      <c r="H143" s="42" t="s">
        <v>837</v>
      </c>
      <c r="I143" s="43" t="s">
        <v>1003</v>
      </c>
      <c r="J143" s="44"/>
      <c r="K143" s="45" t="s">
        <v>1005</v>
      </c>
      <c r="L143" s="45" t="s">
        <v>1006</v>
      </c>
      <c r="M143" s="42" t="str">
        <f>VLOOKUP(F143,ListaValores!$C$2:$D$11,2,0)</f>
        <v>Medio Ambiente</v>
      </c>
      <c r="N143" s="40" t="s">
        <v>6</v>
      </c>
      <c r="O143" s="91" t="s">
        <v>1007</v>
      </c>
      <c r="P143" s="80" t="s">
        <v>290</v>
      </c>
      <c r="Q143" s="96"/>
      <c r="R143" s="42"/>
      <c r="S143" s="93"/>
    </row>
    <row r="144" spans="1:21" s="39" customFormat="1" ht="25.5" hidden="1" x14ac:dyDescent="0.25">
      <c r="A144" s="38"/>
      <c r="B144" s="38"/>
      <c r="C144" s="38"/>
      <c r="D144" s="38"/>
      <c r="E144" s="71" t="str">
        <f>F144&amp;TEXT(G144,"000")</f>
        <v>MA233</v>
      </c>
      <c r="F144" s="40" t="s">
        <v>25</v>
      </c>
      <c r="G144" s="41">
        <v>233</v>
      </c>
      <c r="H144" s="42" t="s">
        <v>837</v>
      </c>
      <c r="I144" s="43" t="s">
        <v>1004</v>
      </c>
      <c r="J144" s="44"/>
      <c r="K144" s="42" t="s">
        <v>239</v>
      </c>
      <c r="L144" s="42" t="s">
        <v>239</v>
      </c>
      <c r="M144" s="42" t="str">
        <f>VLOOKUP(F144,ListaValores!$C$2:$D$11,2,0)</f>
        <v>Medio Ambiente</v>
      </c>
      <c r="N144" s="40" t="s">
        <v>6</v>
      </c>
      <c r="O144" s="91" t="s">
        <v>1008</v>
      </c>
      <c r="P144" s="80" t="s">
        <v>290</v>
      </c>
      <c r="Q144" s="96"/>
      <c r="R144" s="42"/>
      <c r="S144" s="93"/>
    </row>
    <row r="145" spans="1:21" s="39" customFormat="1" hidden="1" x14ac:dyDescent="0.25">
      <c r="A145" s="38"/>
      <c r="B145" s="38"/>
      <c r="C145" s="38"/>
      <c r="D145" s="38"/>
      <c r="E145" s="71" t="str">
        <f>F145&amp;TEXT(G145,"000")</f>
        <v>MA235</v>
      </c>
      <c r="F145" s="40" t="s">
        <v>25</v>
      </c>
      <c r="G145" s="41">
        <v>235</v>
      </c>
      <c r="H145" s="42" t="s">
        <v>123</v>
      </c>
      <c r="I145" s="43" t="s">
        <v>1000</v>
      </c>
      <c r="J145" s="44"/>
      <c r="K145" s="42" t="s">
        <v>239</v>
      </c>
      <c r="L145" s="42" t="s">
        <v>239</v>
      </c>
      <c r="M145" s="42" t="str">
        <f>VLOOKUP(F145,ListaValores!$C$2:$D$11,2,0)</f>
        <v>Medio Ambiente</v>
      </c>
      <c r="N145" s="40" t="s">
        <v>6</v>
      </c>
      <c r="O145" s="91" t="s">
        <v>290</v>
      </c>
      <c r="P145" s="80" t="s">
        <v>290</v>
      </c>
      <c r="Q145" s="96"/>
      <c r="R145" s="42"/>
      <c r="S145" s="93"/>
    </row>
    <row r="146" spans="1:21" hidden="1" x14ac:dyDescent="0.25">
      <c r="A146" s="38"/>
      <c r="B146" s="38"/>
      <c r="E146" s="71" t="str">
        <f t="shared" si="5"/>
        <v>MA240</v>
      </c>
      <c r="F146" s="27" t="s">
        <v>25</v>
      </c>
      <c r="G146" s="28">
        <v>240</v>
      </c>
      <c r="H146" s="29" t="s">
        <v>123</v>
      </c>
      <c r="I146" s="30" t="s">
        <v>208</v>
      </c>
      <c r="J146" s="31"/>
      <c r="K146" s="79" t="s">
        <v>290</v>
      </c>
      <c r="L146" s="80" t="s">
        <v>290</v>
      </c>
      <c r="M146" s="42" t="str">
        <f>VLOOKUP(F146,ListaValores!$C$2:$D$11,2,0)</f>
        <v>Medio Ambiente</v>
      </c>
      <c r="N146" s="27" t="s">
        <v>4</v>
      </c>
      <c r="O146" s="35" t="s">
        <v>228</v>
      </c>
      <c r="P146" s="80" t="s">
        <v>290</v>
      </c>
      <c r="Q146" s="96" t="s">
        <v>821</v>
      </c>
      <c r="R146" s="29"/>
      <c r="S146" s="93" t="s">
        <v>433</v>
      </c>
      <c r="T146" s="39"/>
      <c r="U146" s="39"/>
    </row>
    <row r="147" spans="1:21" s="39" customFormat="1" ht="25.5" hidden="1" x14ac:dyDescent="0.25">
      <c r="A147" s="38"/>
      <c r="B147" s="38"/>
      <c r="C147" s="38"/>
      <c r="D147" s="38"/>
      <c r="E147" s="71" t="str">
        <f t="shared" si="5"/>
        <v>RH005</v>
      </c>
      <c r="F147" s="27" t="s">
        <v>97</v>
      </c>
      <c r="G147" s="28">
        <v>5</v>
      </c>
      <c r="H147" s="42" t="s">
        <v>837</v>
      </c>
      <c r="I147" s="30" t="s">
        <v>279</v>
      </c>
      <c r="J147" s="46">
        <v>1996</v>
      </c>
      <c r="K147" s="32" t="s">
        <v>280</v>
      </c>
      <c r="L147" s="29" t="s">
        <v>157</v>
      </c>
      <c r="M147" s="42" t="str">
        <f>VLOOKUP(F147,ListaValores!$C$2:$D$11,2,0)</f>
        <v>Recursos Hídricos</v>
      </c>
      <c r="N147" s="27" t="s">
        <v>19</v>
      </c>
      <c r="O147" s="42" t="s">
        <v>730</v>
      </c>
      <c r="P147" s="80" t="s">
        <v>968</v>
      </c>
      <c r="Q147" s="96" t="s">
        <v>821</v>
      </c>
      <c r="R147" s="29"/>
      <c r="S147" s="93" t="s">
        <v>434</v>
      </c>
    </row>
    <row r="148" spans="1:21" ht="25.5" hidden="1" x14ac:dyDescent="0.25">
      <c r="A148" s="38"/>
      <c r="B148" s="38"/>
      <c r="E148" s="71" t="str">
        <f t="shared" si="5"/>
        <v>RH010</v>
      </c>
      <c r="F148" s="27" t="s">
        <v>97</v>
      </c>
      <c r="G148" s="28">
        <v>10</v>
      </c>
      <c r="H148" s="42" t="s">
        <v>837</v>
      </c>
      <c r="I148" s="43" t="s">
        <v>171</v>
      </c>
      <c r="J148" s="31">
        <v>1996</v>
      </c>
      <c r="K148" s="32" t="s">
        <v>45</v>
      </c>
      <c r="L148" s="29" t="s">
        <v>232</v>
      </c>
      <c r="M148" s="42" t="str">
        <f>VLOOKUP(F148,ListaValores!$C$2:$D$11,2,0)</f>
        <v>Recursos Hídricos</v>
      </c>
      <c r="N148" s="40" t="s">
        <v>116</v>
      </c>
      <c r="O148" s="98" t="s">
        <v>826</v>
      </c>
      <c r="P148" s="91" t="s">
        <v>768</v>
      </c>
      <c r="Q148" s="96" t="s">
        <v>820</v>
      </c>
      <c r="R148" s="29" t="s">
        <v>172</v>
      </c>
      <c r="S148" s="93" t="s">
        <v>435</v>
      </c>
      <c r="T148" s="39"/>
      <c r="U148" s="39"/>
    </row>
    <row r="149" spans="1:21" hidden="1" x14ac:dyDescent="0.25">
      <c r="A149" s="38"/>
      <c r="B149" s="38"/>
      <c r="E149" s="71" t="str">
        <f>F149&amp;TEXT(G149,"000")</f>
        <v>RH015</v>
      </c>
      <c r="F149" s="40" t="s">
        <v>97</v>
      </c>
      <c r="G149" s="41">
        <v>15</v>
      </c>
      <c r="H149" s="42" t="s">
        <v>837</v>
      </c>
      <c r="I149" s="43" t="s">
        <v>746</v>
      </c>
      <c r="J149" s="44">
        <v>1999</v>
      </c>
      <c r="K149" s="45" t="s">
        <v>233</v>
      </c>
      <c r="L149" s="42" t="s">
        <v>232</v>
      </c>
      <c r="M149" s="42" t="str">
        <f>VLOOKUP(F149,ListaValores!$C$2:$D$11,2,0)</f>
        <v>Recursos Hídricos</v>
      </c>
      <c r="N149" s="40" t="s">
        <v>4</v>
      </c>
      <c r="O149" s="35" t="s">
        <v>747</v>
      </c>
      <c r="P149" s="35" t="s">
        <v>748</v>
      </c>
      <c r="Q149" s="96" t="s">
        <v>820</v>
      </c>
      <c r="R149" s="42"/>
      <c r="S149" s="93" t="s">
        <v>814</v>
      </c>
      <c r="T149" s="39"/>
      <c r="U149" s="39"/>
    </row>
    <row r="150" spans="1:21" ht="25.5" hidden="1" x14ac:dyDescent="0.25">
      <c r="A150" s="38"/>
      <c r="B150" s="38"/>
      <c r="E150" s="71" t="str">
        <f t="shared" si="5"/>
        <v>RH020</v>
      </c>
      <c r="F150" s="27" t="s">
        <v>97</v>
      </c>
      <c r="G150" s="28">
        <v>20</v>
      </c>
      <c r="H150" s="42" t="s">
        <v>837</v>
      </c>
      <c r="I150" s="30" t="s">
        <v>173</v>
      </c>
      <c r="J150" s="31">
        <v>2003</v>
      </c>
      <c r="K150" s="34" t="s">
        <v>233</v>
      </c>
      <c r="L150" s="29" t="s">
        <v>157</v>
      </c>
      <c r="M150" s="42" t="str">
        <f>VLOOKUP(F150,ListaValores!$C$2:$D$11,2,0)</f>
        <v>Recursos Hídricos</v>
      </c>
      <c r="N150" s="27" t="s">
        <v>4</v>
      </c>
      <c r="O150" s="98" t="s">
        <v>827</v>
      </c>
      <c r="P150" s="91" t="s">
        <v>769</v>
      </c>
      <c r="Q150" s="96" t="s">
        <v>820</v>
      </c>
      <c r="R150" s="29"/>
      <c r="S150" s="93" t="s">
        <v>436</v>
      </c>
      <c r="T150" s="39"/>
      <c r="U150" s="39"/>
    </row>
    <row r="151" spans="1:21" ht="25.5" hidden="1" x14ac:dyDescent="0.25">
      <c r="A151" s="38"/>
      <c r="B151" s="38"/>
      <c r="E151" s="71" t="str">
        <f t="shared" si="5"/>
        <v>RH030</v>
      </c>
      <c r="F151" s="27" t="s">
        <v>97</v>
      </c>
      <c r="G151" s="28">
        <v>30</v>
      </c>
      <c r="H151" s="42" t="s">
        <v>121</v>
      </c>
      <c r="I151" s="30" t="s">
        <v>174</v>
      </c>
      <c r="J151" s="31">
        <v>2003</v>
      </c>
      <c r="K151" s="34" t="s">
        <v>233</v>
      </c>
      <c r="L151" s="80" t="s">
        <v>290</v>
      </c>
      <c r="M151" s="42" t="str">
        <f>VLOOKUP(F151,ListaValores!$C$2:$D$11,2,0)</f>
        <v>Recursos Hídricos</v>
      </c>
      <c r="N151" s="40" t="s">
        <v>115</v>
      </c>
      <c r="O151" s="98" t="s">
        <v>831</v>
      </c>
      <c r="P151" s="91" t="s">
        <v>770</v>
      </c>
      <c r="Q151" s="96" t="s">
        <v>820</v>
      </c>
      <c r="R151" s="29" t="s">
        <v>175</v>
      </c>
      <c r="S151" s="93" t="s">
        <v>437</v>
      </c>
      <c r="T151" s="39"/>
      <c r="U151" s="39"/>
    </row>
    <row r="152" spans="1:21" ht="25.5" hidden="1" x14ac:dyDescent="0.25">
      <c r="A152" s="38"/>
      <c r="B152" s="38"/>
      <c r="E152" s="71" t="str">
        <f t="shared" si="5"/>
        <v>RH040</v>
      </c>
      <c r="F152" s="27" t="s">
        <v>97</v>
      </c>
      <c r="G152" s="28">
        <v>40</v>
      </c>
      <c r="H152" s="42" t="s">
        <v>837</v>
      </c>
      <c r="I152" s="30" t="s">
        <v>67</v>
      </c>
      <c r="J152" s="31">
        <v>2004</v>
      </c>
      <c r="K152" s="32" t="s">
        <v>29</v>
      </c>
      <c r="L152" s="29" t="s">
        <v>232</v>
      </c>
      <c r="M152" s="42" t="str">
        <f>VLOOKUP(F152,ListaValores!$C$2:$D$11,2,0)</f>
        <v>Recursos Hídricos</v>
      </c>
      <c r="N152" s="40" t="s">
        <v>115</v>
      </c>
      <c r="O152" s="98" t="s">
        <v>832</v>
      </c>
      <c r="P152" s="80" t="s">
        <v>969</v>
      </c>
      <c r="Q152" s="96" t="s">
        <v>821</v>
      </c>
      <c r="R152" s="29" t="s">
        <v>176</v>
      </c>
      <c r="S152" s="93" t="s">
        <v>438</v>
      </c>
      <c r="T152" s="39"/>
      <c r="U152" s="39"/>
    </row>
    <row r="153" spans="1:21" ht="25.5" hidden="1" x14ac:dyDescent="0.25">
      <c r="A153" s="38"/>
      <c r="B153" s="38"/>
      <c r="E153" s="71" t="str">
        <f t="shared" si="5"/>
        <v>RH050</v>
      </c>
      <c r="F153" s="27" t="s">
        <v>97</v>
      </c>
      <c r="G153" s="28">
        <v>50</v>
      </c>
      <c r="H153" s="42" t="s">
        <v>837</v>
      </c>
      <c r="I153" s="30" t="s">
        <v>90</v>
      </c>
      <c r="J153" s="31">
        <v>2005</v>
      </c>
      <c r="K153" s="32" t="s">
        <v>31</v>
      </c>
      <c r="L153" s="29" t="s">
        <v>232</v>
      </c>
      <c r="M153" s="42" t="str">
        <f>VLOOKUP(F153,ListaValores!$C$2:$D$11,2,0)</f>
        <v>Recursos Hídricos</v>
      </c>
      <c r="N153" s="40" t="s">
        <v>115</v>
      </c>
      <c r="O153" s="35" t="s">
        <v>214</v>
      </c>
      <c r="P153" s="91" t="s">
        <v>771</v>
      </c>
      <c r="Q153" s="96" t="s">
        <v>820</v>
      </c>
      <c r="R153" s="29" t="s">
        <v>177</v>
      </c>
      <c r="S153" s="93" t="s">
        <v>439</v>
      </c>
      <c r="T153" s="39"/>
      <c r="U153" s="39"/>
    </row>
    <row r="154" spans="1:21" ht="25.5" hidden="1" x14ac:dyDescent="0.25">
      <c r="A154" s="38"/>
      <c r="B154" s="38"/>
      <c r="E154" s="71" t="str">
        <f t="shared" si="5"/>
        <v>RH060</v>
      </c>
      <c r="F154" s="27" t="s">
        <v>97</v>
      </c>
      <c r="G154" s="28">
        <v>60</v>
      </c>
      <c r="H154" s="42" t="s">
        <v>837</v>
      </c>
      <c r="I154" s="30" t="s">
        <v>68</v>
      </c>
      <c r="J154" s="31">
        <v>2006</v>
      </c>
      <c r="K154" s="45" t="s">
        <v>37</v>
      </c>
      <c r="L154" s="29" t="s">
        <v>157</v>
      </c>
      <c r="M154" s="42" t="str">
        <f>VLOOKUP(F154,ListaValores!$C$2:$D$11,2,0)</f>
        <v>Recursos Hídricos</v>
      </c>
      <c r="N154" s="40" t="s">
        <v>115</v>
      </c>
      <c r="O154" s="35" t="s">
        <v>248</v>
      </c>
      <c r="P154" s="91" t="s">
        <v>772</v>
      </c>
      <c r="Q154" s="96" t="s">
        <v>820</v>
      </c>
      <c r="R154" s="29"/>
      <c r="S154" s="93" t="s">
        <v>440</v>
      </c>
      <c r="T154" s="39"/>
      <c r="U154" s="39"/>
    </row>
    <row r="155" spans="1:21" ht="25.5" hidden="1" x14ac:dyDescent="0.25">
      <c r="A155" s="38"/>
      <c r="B155" s="38"/>
      <c r="E155" s="71" t="str">
        <f t="shared" si="5"/>
        <v>RH070</v>
      </c>
      <c r="F155" s="27" t="s">
        <v>97</v>
      </c>
      <c r="G155" s="28">
        <v>70</v>
      </c>
      <c r="H155" s="42" t="s">
        <v>837</v>
      </c>
      <c r="I155" s="30" t="s">
        <v>178</v>
      </c>
      <c r="J155" s="31">
        <v>2007</v>
      </c>
      <c r="K155" s="34" t="s">
        <v>233</v>
      </c>
      <c r="L155" s="29" t="s">
        <v>232</v>
      </c>
      <c r="M155" s="42" t="str">
        <f>VLOOKUP(F155,ListaValores!$C$2:$D$11,2,0)</f>
        <v>Recursos Hídricos</v>
      </c>
      <c r="N155" s="27" t="s">
        <v>4</v>
      </c>
      <c r="O155" s="98" t="s">
        <v>833</v>
      </c>
      <c r="P155" s="91" t="s">
        <v>773</v>
      </c>
      <c r="Q155" s="96" t="s">
        <v>820</v>
      </c>
      <c r="R155" s="29" t="s">
        <v>179</v>
      </c>
      <c r="S155" s="93" t="s">
        <v>441</v>
      </c>
      <c r="T155" s="39"/>
      <c r="U155" s="39"/>
    </row>
    <row r="156" spans="1:21" s="39" customFormat="1" ht="38.25" hidden="1" x14ac:dyDescent="0.25">
      <c r="A156" s="38"/>
      <c r="B156" s="38"/>
      <c r="D156"/>
      <c r="E156" s="71" t="str">
        <f t="shared" si="5"/>
        <v>RH080</v>
      </c>
      <c r="F156" s="27" t="s">
        <v>97</v>
      </c>
      <c r="G156" s="28">
        <v>80</v>
      </c>
      <c r="H156" s="29" t="s">
        <v>121</v>
      </c>
      <c r="I156" s="30" t="s">
        <v>322</v>
      </c>
      <c r="J156" s="31">
        <v>2008</v>
      </c>
      <c r="K156" s="32" t="s">
        <v>32</v>
      </c>
      <c r="L156" s="29" t="s">
        <v>232</v>
      </c>
      <c r="M156" s="42" t="str">
        <f>VLOOKUP(F156,ListaValores!$C$2:$D$11,2,0)</f>
        <v>Recursos Hídricos</v>
      </c>
      <c r="N156" s="27" t="s">
        <v>115</v>
      </c>
      <c r="O156" s="89" t="s">
        <v>749</v>
      </c>
      <c r="P156" s="91" t="s">
        <v>774</v>
      </c>
      <c r="Q156" s="96" t="s">
        <v>820</v>
      </c>
      <c r="R156" s="29" t="s">
        <v>180</v>
      </c>
      <c r="S156" s="93" t="s">
        <v>442</v>
      </c>
    </row>
    <row r="157" spans="1:21" ht="25.5" hidden="1" x14ac:dyDescent="0.25">
      <c r="A157" s="38"/>
      <c r="B157" s="38"/>
      <c r="E157" s="71" t="str">
        <f t="shared" si="5"/>
        <v>RH090</v>
      </c>
      <c r="F157" s="27" t="s">
        <v>97</v>
      </c>
      <c r="G157" s="28">
        <v>90</v>
      </c>
      <c r="H157" s="42" t="s">
        <v>837</v>
      </c>
      <c r="I157" s="30" t="s">
        <v>181</v>
      </c>
      <c r="J157" s="31">
        <v>2008</v>
      </c>
      <c r="K157" s="32" t="s">
        <v>37</v>
      </c>
      <c r="L157" s="29" t="s">
        <v>157</v>
      </c>
      <c r="M157" s="42" t="str">
        <f>VLOOKUP(F157,ListaValores!$C$2:$D$11,2,0)</f>
        <v>Recursos Hídricos</v>
      </c>
      <c r="N157" s="40" t="s">
        <v>115</v>
      </c>
      <c r="O157" s="98" t="s">
        <v>834</v>
      </c>
      <c r="P157" s="80" t="s">
        <v>970</v>
      </c>
      <c r="Q157" s="96" t="s">
        <v>821</v>
      </c>
      <c r="R157" s="29"/>
      <c r="S157" s="93" t="s">
        <v>443</v>
      </c>
      <c r="T157" s="39"/>
      <c r="U157" s="39"/>
    </row>
    <row r="158" spans="1:21" ht="25.5" hidden="1" x14ac:dyDescent="0.25">
      <c r="A158" s="38"/>
      <c r="B158" s="38"/>
      <c r="E158" s="71" t="str">
        <f t="shared" si="5"/>
        <v>RH100</v>
      </c>
      <c r="F158" s="27" t="s">
        <v>97</v>
      </c>
      <c r="G158" s="28">
        <v>100</v>
      </c>
      <c r="H158" s="42" t="s">
        <v>837</v>
      </c>
      <c r="I158" s="30" t="s">
        <v>321</v>
      </c>
      <c r="J158" s="31">
        <v>2010</v>
      </c>
      <c r="K158" s="32" t="s">
        <v>37</v>
      </c>
      <c r="L158" s="29" t="s">
        <v>232</v>
      </c>
      <c r="M158" s="42" t="str">
        <f>VLOOKUP(F158,ListaValores!$C$2:$D$11,2,0)</f>
        <v>Recursos Hídricos</v>
      </c>
      <c r="N158" s="40" t="s">
        <v>115</v>
      </c>
      <c r="O158" s="98" t="s">
        <v>835</v>
      </c>
      <c r="P158" s="91" t="s">
        <v>775</v>
      </c>
      <c r="Q158" s="96" t="s">
        <v>820</v>
      </c>
      <c r="R158" s="29" t="s">
        <v>182</v>
      </c>
      <c r="S158" s="93" t="s">
        <v>444</v>
      </c>
      <c r="T158" s="39"/>
      <c r="U158" s="39"/>
    </row>
    <row r="159" spans="1:21" ht="25.5" hidden="1" x14ac:dyDescent="0.25">
      <c r="A159" s="38"/>
      <c r="B159" s="38"/>
      <c r="E159" s="71" t="str">
        <f t="shared" si="5"/>
        <v>RH110</v>
      </c>
      <c r="F159" s="27" t="s">
        <v>97</v>
      </c>
      <c r="G159" s="28">
        <v>110</v>
      </c>
      <c r="H159" s="29" t="s">
        <v>121</v>
      </c>
      <c r="I159" s="30" t="s">
        <v>63</v>
      </c>
      <c r="J159" s="31">
        <v>2012</v>
      </c>
      <c r="K159" s="45" t="s">
        <v>39</v>
      </c>
      <c r="L159" s="29" t="s">
        <v>240</v>
      </c>
      <c r="M159" s="42" t="str">
        <f>VLOOKUP(F159,ListaValores!$C$2:$D$11,2,0)</f>
        <v>Recursos Hídricos</v>
      </c>
      <c r="N159" s="27" t="s">
        <v>4</v>
      </c>
      <c r="O159" s="98" t="s">
        <v>836</v>
      </c>
      <c r="P159" s="91" t="s">
        <v>776</v>
      </c>
      <c r="Q159" s="96" t="s">
        <v>820</v>
      </c>
      <c r="R159" s="29"/>
      <c r="S159" s="93" t="s">
        <v>445</v>
      </c>
      <c r="T159" s="39"/>
      <c r="U159" s="39"/>
    </row>
    <row r="160" spans="1:21" s="39" customFormat="1" hidden="1" x14ac:dyDescent="0.25">
      <c r="A160" s="38"/>
      <c r="B160" s="38"/>
      <c r="D160"/>
      <c r="E160" s="71" t="str">
        <f t="shared" ref="E160:E174" si="6">F160&amp;TEXT(G160,"000")</f>
        <v>RH120</v>
      </c>
      <c r="F160" s="27" t="s">
        <v>97</v>
      </c>
      <c r="G160" s="28">
        <v>120</v>
      </c>
      <c r="H160" s="29" t="s">
        <v>121</v>
      </c>
      <c r="I160" s="30" t="s">
        <v>85</v>
      </c>
      <c r="J160" s="31">
        <v>2012</v>
      </c>
      <c r="K160" s="32" t="s">
        <v>14</v>
      </c>
      <c r="L160" s="29" t="s">
        <v>240</v>
      </c>
      <c r="M160" s="42" t="str">
        <f>VLOOKUP(F160,ListaValores!$C$2:$D$11,2,0)</f>
        <v>Recursos Hídricos</v>
      </c>
      <c r="N160" s="27" t="s">
        <v>6</v>
      </c>
      <c r="O160" s="98" t="s">
        <v>838</v>
      </c>
      <c r="P160" s="91" t="s">
        <v>777</v>
      </c>
      <c r="Q160" s="96" t="s">
        <v>820</v>
      </c>
      <c r="R160" s="29"/>
      <c r="S160" s="93" t="s">
        <v>476</v>
      </c>
    </row>
    <row r="161" spans="1:21" hidden="1" x14ac:dyDescent="0.25">
      <c r="A161" s="38"/>
      <c r="B161" s="38"/>
      <c r="E161" s="71" t="str">
        <f t="shared" si="6"/>
        <v>RH130</v>
      </c>
      <c r="F161" s="27" t="s">
        <v>97</v>
      </c>
      <c r="G161" s="28">
        <v>130</v>
      </c>
      <c r="H161" s="42" t="s">
        <v>837</v>
      </c>
      <c r="I161" s="30" t="s">
        <v>183</v>
      </c>
      <c r="J161" s="31">
        <v>2012</v>
      </c>
      <c r="K161" s="32" t="s">
        <v>5</v>
      </c>
      <c r="L161" s="29" t="s">
        <v>232</v>
      </c>
      <c r="M161" s="42" t="str">
        <f>VLOOKUP(F161,ListaValores!$C$2:$D$11,2,0)</f>
        <v>Recursos Hídricos</v>
      </c>
      <c r="N161" s="27" t="s">
        <v>116</v>
      </c>
      <c r="O161" s="98" t="s">
        <v>839</v>
      </c>
      <c r="P161" s="91" t="s">
        <v>778</v>
      </c>
      <c r="Q161" s="96" t="s">
        <v>820</v>
      </c>
      <c r="R161" s="29" t="s">
        <v>331</v>
      </c>
      <c r="S161" s="93" t="s">
        <v>446</v>
      </c>
      <c r="T161" s="39"/>
      <c r="U161" s="39"/>
    </row>
    <row r="162" spans="1:21" hidden="1" x14ac:dyDescent="0.25">
      <c r="A162" s="38"/>
      <c r="B162" s="38"/>
      <c r="E162" s="71" t="str">
        <f t="shared" si="6"/>
        <v>RH135</v>
      </c>
      <c r="F162" s="40" t="s">
        <v>97</v>
      </c>
      <c r="G162" s="41">
        <v>135</v>
      </c>
      <c r="H162" s="42" t="s">
        <v>150</v>
      </c>
      <c r="I162" s="43" t="s">
        <v>295</v>
      </c>
      <c r="J162" s="44">
        <v>2013</v>
      </c>
      <c r="K162" s="45" t="s">
        <v>296</v>
      </c>
      <c r="L162" s="42" t="s">
        <v>297</v>
      </c>
      <c r="M162" s="42" t="str">
        <f>VLOOKUP(F162,ListaValores!$C$2:$D$11,2,0)</f>
        <v>Recursos Hídricos</v>
      </c>
      <c r="N162" s="40" t="s">
        <v>4</v>
      </c>
      <c r="O162" s="35" t="s">
        <v>840</v>
      </c>
      <c r="P162" s="80" t="s">
        <v>971</v>
      </c>
      <c r="Q162" s="96" t="s">
        <v>821</v>
      </c>
      <c r="R162" s="42"/>
      <c r="S162" s="93" t="s">
        <v>447</v>
      </c>
      <c r="T162" s="39"/>
      <c r="U162" s="39"/>
    </row>
    <row r="163" spans="1:21" ht="25.5" hidden="1" x14ac:dyDescent="0.25">
      <c r="A163" s="38"/>
      <c r="B163" s="38"/>
      <c r="E163" s="71" t="str">
        <f t="shared" si="6"/>
        <v>RH140</v>
      </c>
      <c r="F163" s="27" t="s">
        <v>97</v>
      </c>
      <c r="G163" s="28">
        <v>140</v>
      </c>
      <c r="H163" s="42" t="s">
        <v>122</v>
      </c>
      <c r="I163" s="30" t="s">
        <v>91</v>
      </c>
      <c r="J163" s="31">
        <v>2014</v>
      </c>
      <c r="K163" s="32" t="s">
        <v>35</v>
      </c>
      <c r="L163" s="29" t="s">
        <v>302</v>
      </c>
      <c r="M163" s="42" t="str">
        <f>VLOOKUP(F163,ListaValores!$C$2:$D$11,2,0)</f>
        <v>Recursos Hídricos</v>
      </c>
      <c r="N163" s="27" t="s">
        <v>4</v>
      </c>
      <c r="O163" s="98" t="s">
        <v>841</v>
      </c>
      <c r="P163" s="91" t="s">
        <v>842</v>
      </c>
      <c r="Q163" s="96" t="s">
        <v>820</v>
      </c>
      <c r="R163" s="29"/>
      <c r="S163" s="93" t="s">
        <v>448</v>
      </c>
      <c r="T163" s="39"/>
      <c r="U163" s="39"/>
    </row>
    <row r="164" spans="1:21" ht="25.5" hidden="1" x14ac:dyDescent="0.25">
      <c r="A164" s="38"/>
      <c r="B164" s="38"/>
      <c r="E164" s="71" t="str">
        <f t="shared" si="6"/>
        <v>RH150</v>
      </c>
      <c r="F164" s="27" t="s">
        <v>97</v>
      </c>
      <c r="G164" s="28">
        <v>150</v>
      </c>
      <c r="H164" s="42" t="s">
        <v>837</v>
      </c>
      <c r="I164" s="30" t="s">
        <v>92</v>
      </c>
      <c r="J164" s="31">
        <v>2014</v>
      </c>
      <c r="K164" s="79" t="s">
        <v>290</v>
      </c>
      <c r="L164" s="29" t="s">
        <v>232</v>
      </c>
      <c r="M164" s="42" t="str">
        <f>VLOOKUP(F164,ListaValores!$C$2:$D$11,2,0)</f>
        <v>Recursos Hídricos</v>
      </c>
      <c r="N164" s="27" t="s">
        <v>4</v>
      </c>
      <c r="O164" s="98" t="s">
        <v>843</v>
      </c>
      <c r="P164" s="91" t="s">
        <v>779</v>
      </c>
      <c r="Q164" s="96" t="s">
        <v>820</v>
      </c>
      <c r="R164" s="29" t="s">
        <v>94</v>
      </c>
      <c r="S164" s="93" t="s">
        <v>449</v>
      </c>
      <c r="T164" s="39"/>
      <c r="U164" s="39"/>
    </row>
    <row r="165" spans="1:21" ht="25.5" hidden="1" x14ac:dyDescent="0.25">
      <c r="A165" s="38"/>
      <c r="B165" s="38"/>
      <c r="E165" s="71" t="str">
        <f t="shared" si="6"/>
        <v>RH160</v>
      </c>
      <c r="F165" s="27" t="s">
        <v>97</v>
      </c>
      <c r="G165" s="28">
        <v>160</v>
      </c>
      <c r="H165" s="29" t="s">
        <v>121</v>
      </c>
      <c r="I165" s="30" t="s">
        <v>65</v>
      </c>
      <c r="J165" s="31">
        <v>2015</v>
      </c>
      <c r="K165" s="32" t="s">
        <v>40</v>
      </c>
      <c r="L165" s="29" t="s">
        <v>54</v>
      </c>
      <c r="M165" s="42" t="str">
        <f>VLOOKUP(F165,ListaValores!$C$2:$D$11,2,0)</f>
        <v>Recursos Hídricos</v>
      </c>
      <c r="N165" s="27" t="s">
        <v>6</v>
      </c>
      <c r="O165" s="98" t="s">
        <v>844</v>
      </c>
      <c r="P165" s="80" t="s">
        <v>972</v>
      </c>
      <c r="Q165" s="96" t="s">
        <v>821</v>
      </c>
      <c r="R165" s="29"/>
      <c r="S165" s="93" t="s">
        <v>477</v>
      </c>
      <c r="T165" s="39"/>
      <c r="U165" s="39"/>
    </row>
    <row r="166" spans="1:21" ht="25.5" hidden="1" x14ac:dyDescent="0.25">
      <c r="A166" s="38"/>
      <c r="B166" s="38"/>
      <c r="E166" s="71" t="str">
        <f t="shared" si="6"/>
        <v>RH170</v>
      </c>
      <c r="F166" s="40" t="s">
        <v>97</v>
      </c>
      <c r="G166" s="41">
        <v>170</v>
      </c>
      <c r="H166" s="42" t="s">
        <v>837</v>
      </c>
      <c r="I166" s="43" t="s">
        <v>299</v>
      </c>
      <c r="J166" s="44">
        <v>2015</v>
      </c>
      <c r="K166" s="45" t="s">
        <v>300</v>
      </c>
      <c r="L166" s="45" t="s">
        <v>300</v>
      </c>
      <c r="M166" s="42" t="str">
        <f>VLOOKUP(F166,ListaValores!$C$2:$D$11,2,0)</f>
        <v>Recursos Hídricos</v>
      </c>
      <c r="N166" s="40" t="s">
        <v>115</v>
      </c>
      <c r="O166" s="35" t="s">
        <v>301</v>
      </c>
      <c r="P166" s="91" t="s">
        <v>780</v>
      </c>
      <c r="Q166" s="96" t="s">
        <v>820</v>
      </c>
      <c r="R166" s="42"/>
      <c r="S166" s="93" t="s">
        <v>478</v>
      </c>
      <c r="T166" s="39"/>
      <c r="U166" s="39"/>
    </row>
    <row r="167" spans="1:21" hidden="1" x14ac:dyDescent="0.25">
      <c r="A167" s="38"/>
      <c r="B167" s="38"/>
      <c r="E167" s="71" t="str">
        <f t="shared" si="6"/>
        <v>SAP010</v>
      </c>
      <c r="F167" s="27" t="s">
        <v>93</v>
      </c>
      <c r="G167" s="28">
        <v>10</v>
      </c>
      <c r="H167" s="42" t="s">
        <v>837</v>
      </c>
      <c r="I167" s="30" t="s">
        <v>64</v>
      </c>
      <c r="J167" s="31">
        <v>2003</v>
      </c>
      <c r="K167" s="34" t="s">
        <v>233</v>
      </c>
      <c r="L167" s="29" t="s">
        <v>157</v>
      </c>
      <c r="M167" s="42" t="str">
        <f>VLOOKUP(F167,ListaValores!$C$2:$D$11,2,0)</f>
        <v>SilvoAgroPecuario</v>
      </c>
      <c r="N167" s="27" t="s">
        <v>4</v>
      </c>
      <c r="O167" s="35" t="s">
        <v>212</v>
      </c>
      <c r="P167" s="80" t="s">
        <v>973</v>
      </c>
      <c r="Q167" s="96" t="s">
        <v>821</v>
      </c>
      <c r="R167" s="29"/>
      <c r="S167" s="93" t="s">
        <v>450</v>
      </c>
      <c r="T167" s="39"/>
      <c r="U167" s="39"/>
    </row>
    <row r="168" spans="1:21" hidden="1" x14ac:dyDescent="0.25">
      <c r="A168" s="38"/>
      <c r="B168" s="38"/>
      <c r="E168" s="71" t="str">
        <f t="shared" si="6"/>
        <v>SAP020</v>
      </c>
      <c r="F168" s="27" t="s">
        <v>93</v>
      </c>
      <c r="G168" s="28">
        <v>20</v>
      </c>
      <c r="H168" s="42" t="s">
        <v>123</v>
      </c>
      <c r="I168" s="30" t="s">
        <v>82</v>
      </c>
      <c r="J168" s="31">
        <v>2007</v>
      </c>
      <c r="K168" s="32" t="s">
        <v>16</v>
      </c>
      <c r="L168" s="29" t="s">
        <v>16</v>
      </c>
      <c r="M168" s="42" t="str">
        <f>VLOOKUP(F168,ListaValores!$C$2:$D$11,2,0)</f>
        <v>SilvoAgroPecuario</v>
      </c>
      <c r="N168" s="27" t="s">
        <v>4</v>
      </c>
      <c r="O168" s="35" t="s">
        <v>216</v>
      </c>
      <c r="P168" s="80" t="s">
        <v>974</v>
      </c>
      <c r="Q168" s="96" t="s">
        <v>821</v>
      </c>
      <c r="R168" s="29"/>
      <c r="S168" s="93" t="s">
        <v>451</v>
      </c>
      <c r="T168" s="39"/>
      <c r="U168" s="39"/>
    </row>
    <row r="169" spans="1:21" hidden="1" x14ac:dyDescent="0.25">
      <c r="E169" s="71" t="str">
        <f t="shared" si="6"/>
        <v>SAP030</v>
      </c>
      <c r="F169" s="27" t="s">
        <v>93</v>
      </c>
      <c r="G169" s="28">
        <v>30</v>
      </c>
      <c r="H169" s="29" t="s">
        <v>128</v>
      </c>
      <c r="I169" s="30" t="s">
        <v>58</v>
      </c>
      <c r="J169" s="31">
        <v>2011</v>
      </c>
      <c r="K169" s="32" t="s">
        <v>3</v>
      </c>
      <c r="L169" s="29" t="s">
        <v>38</v>
      </c>
      <c r="M169" s="42" t="str">
        <f>VLOOKUP(F169,ListaValores!$C$2:$D$11,2,0)</f>
        <v>SilvoAgroPecuario</v>
      </c>
      <c r="N169" s="27" t="s">
        <v>6</v>
      </c>
      <c r="O169" s="35" t="s">
        <v>220</v>
      </c>
      <c r="P169" s="80" t="s">
        <v>974</v>
      </c>
      <c r="Q169" s="96" t="s">
        <v>821</v>
      </c>
      <c r="R169" s="29"/>
      <c r="S169" s="93" t="s">
        <v>452</v>
      </c>
      <c r="T169" s="39"/>
      <c r="U169" s="39"/>
    </row>
    <row r="170" spans="1:21" hidden="1" x14ac:dyDescent="0.25">
      <c r="E170" s="71" t="str">
        <f t="shared" si="6"/>
        <v>SAP040</v>
      </c>
      <c r="F170" s="27" t="s">
        <v>93</v>
      </c>
      <c r="G170" s="28">
        <v>40</v>
      </c>
      <c r="H170" s="29" t="s">
        <v>121</v>
      </c>
      <c r="I170" s="30" t="s">
        <v>89</v>
      </c>
      <c r="J170" s="31">
        <v>2011</v>
      </c>
      <c r="K170" s="32" t="s">
        <v>33</v>
      </c>
      <c r="L170" s="29" t="s">
        <v>157</v>
      </c>
      <c r="M170" s="42" t="str">
        <f>VLOOKUP(F170,ListaValores!$C$2:$D$11,2,0)</f>
        <v>SilvoAgroPecuario</v>
      </c>
      <c r="N170" s="27" t="s">
        <v>118</v>
      </c>
      <c r="O170" s="98" t="s">
        <v>845</v>
      </c>
      <c r="P170" s="80" t="s">
        <v>974</v>
      </c>
      <c r="Q170" s="96" t="s">
        <v>821</v>
      </c>
      <c r="R170" s="29"/>
      <c r="S170" s="93" t="s">
        <v>479</v>
      </c>
      <c r="T170" s="39"/>
      <c r="U170" s="39"/>
    </row>
    <row r="171" spans="1:21" ht="25.5" hidden="1" x14ac:dyDescent="0.25">
      <c r="E171" s="71" t="str">
        <f t="shared" si="6"/>
        <v>SAP050</v>
      </c>
      <c r="F171" s="27" t="s">
        <v>93</v>
      </c>
      <c r="G171" s="28">
        <v>50</v>
      </c>
      <c r="H171" s="42" t="s">
        <v>123</v>
      </c>
      <c r="I171" s="30" t="s">
        <v>184</v>
      </c>
      <c r="J171" s="31">
        <v>2012</v>
      </c>
      <c r="K171" s="45" t="s">
        <v>8</v>
      </c>
      <c r="L171" s="29" t="s">
        <v>7</v>
      </c>
      <c r="M171" s="42" t="str">
        <f>VLOOKUP(F171,ListaValores!$C$2:$D$11,2,0)</f>
        <v>SilvoAgroPecuario</v>
      </c>
      <c r="N171" s="27" t="s">
        <v>4</v>
      </c>
      <c r="O171" s="35" t="s">
        <v>224</v>
      </c>
      <c r="P171" s="80" t="s">
        <v>976</v>
      </c>
      <c r="Q171" s="96" t="s">
        <v>821</v>
      </c>
      <c r="R171" s="29"/>
      <c r="S171" s="93" t="s">
        <v>453</v>
      </c>
      <c r="T171" s="39"/>
      <c r="U171" s="39"/>
    </row>
    <row r="172" spans="1:21" ht="25.5" hidden="1" x14ac:dyDescent="0.25">
      <c r="E172" s="71" t="str">
        <f t="shared" si="6"/>
        <v>SAP060</v>
      </c>
      <c r="F172" s="27" t="s">
        <v>93</v>
      </c>
      <c r="G172" s="28">
        <v>60</v>
      </c>
      <c r="H172" s="42" t="s">
        <v>837</v>
      </c>
      <c r="I172" s="30" t="s">
        <v>102</v>
      </c>
      <c r="J172" s="31">
        <v>2012</v>
      </c>
      <c r="K172" s="32" t="s">
        <v>16</v>
      </c>
      <c r="L172" s="29" t="s">
        <v>16</v>
      </c>
      <c r="M172" s="42" t="str">
        <f>VLOOKUP(F172,ListaValores!$C$2:$D$11,2,0)</f>
        <v>SilvoAgroPecuario</v>
      </c>
      <c r="N172" s="27" t="s">
        <v>6</v>
      </c>
      <c r="O172" s="35" t="s">
        <v>750</v>
      </c>
      <c r="P172" s="80" t="s">
        <v>977</v>
      </c>
      <c r="Q172" s="96" t="s">
        <v>821</v>
      </c>
      <c r="R172" s="29"/>
      <c r="S172" s="93" t="s">
        <v>480</v>
      </c>
      <c r="T172" s="39"/>
      <c r="U172" s="39"/>
    </row>
    <row r="173" spans="1:21" ht="25.5" hidden="1" x14ac:dyDescent="0.25">
      <c r="E173" s="71" t="str">
        <f t="shared" si="6"/>
        <v>SAP070</v>
      </c>
      <c r="F173" s="27" t="s">
        <v>93</v>
      </c>
      <c r="G173" s="28">
        <v>70</v>
      </c>
      <c r="H173" s="29" t="s">
        <v>121</v>
      </c>
      <c r="I173" s="30" t="s">
        <v>185</v>
      </c>
      <c r="J173" s="31">
        <v>2013</v>
      </c>
      <c r="K173" s="32" t="s">
        <v>30</v>
      </c>
      <c r="L173" s="29" t="s">
        <v>157</v>
      </c>
      <c r="M173" s="42" t="str">
        <f>VLOOKUP(F173,ListaValores!$C$2:$D$11,2,0)</f>
        <v>SilvoAgroPecuario</v>
      </c>
      <c r="N173" s="27" t="s">
        <v>6</v>
      </c>
      <c r="O173" s="35" t="s">
        <v>226</v>
      </c>
      <c r="P173" s="80" t="s">
        <v>974</v>
      </c>
      <c r="Q173" s="96" t="s">
        <v>821</v>
      </c>
      <c r="R173" s="29"/>
      <c r="S173" s="93" t="s">
        <v>454</v>
      </c>
    </row>
    <row r="174" spans="1:21" hidden="1" x14ac:dyDescent="0.25">
      <c r="E174" s="71" t="str">
        <f t="shared" si="6"/>
        <v>SAP080</v>
      </c>
      <c r="F174" s="27" t="s">
        <v>93</v>
      </c>
      <c r="G174" s="28">
        <v>80</v>
      </c>
      <c r="H174" s="29" t="s">
        <v>123</v>
      </c>
      <c r="I174" s="30" t="s">
        <v>83</v>
      </c>
      <c r="J174" s="31">
        <v>2016</v>
      </c>
      <c r="K174" s="32" t="s">
        <v>16</v>
      </c>
      <c r="L174" s="29" t="s">
        <v>16</v>
      </c>
      <c r="M174" s="42" t="str">
        <f>VLOOKUP(F174,ListaValores!$C$2:$D$11,2,0)</f>
        <v>SilvoAgroPecuario</v>
      </c>
      <c r="N174" s="27" t="s">
        <v>4</v>
      </c>
      <c r="O174" s="33" t="s">
        <v>731</v>
      </c>
      <c r="P174" s="80" t="s">
        <v>975</v>
      </c>
      <c r="Q174" s="96" t="s">
        <v>821</v>
      </c>
      <c r="R174" s="29"/>
      <c r="S174" s="93" t="s">
        <v>455</v>
      </c>
    </row>
    <row r="175" spans="1:21" x14ac:dyDescent="0.25">
      <c r="S175" s="38"/>
    </row>
    <row r="176" spans="1:21" x14ac:dyDescent="0.25">
      <c r="S176" s="38"/>
    </row>
  </sheetData>
  <dataConsolidate/>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C2:N171"/>
  <sheetViews>
    <sheetView view="pageBreakPreview" zoomScale="85" zoomScaleNormal="100" zoomScaleSheetLayoutView="85" workbookViewId="0"/>
  </sheetViews>
  <sheetFormatPr baseColWidth="10" defaultColWidth="11.42578125" defaultRowHeight="15" x14ac:dyDescent="0.25"/>
  <cols>
    <col min="1" max="2" width="11.42578125" style="38"/>
    <col min="3" max="3" width="13" style="9" customWidth="1"/>
    <col min="4" max="7" width="15.42578125" style="9" customWidth="1"/>
    <col min="8" max="8" width="10.85546875" style="9" customWidth="1"/>
    <col min="9" max="11" width="11.42578125" style="38"/>
    <col min="12" max="12" width="17.5703125" style="38" bestFit="1" customWidth="1"/>
    <col min="13" max="16384" width="11.42578125" style="38"/>
  </cols>
  <sheetData>
    <row r="2" spans="3:14" x14ac:dyDescent="0.25">
      <c r="C2" s="70" t="s">
        <v>650</v>
      </c>
      <c r="D2" s="55"/>
      <c r="E2" s="55"/>
      <c r="F2" s="55"/>
      <c r="G2" s="55"/>
      <c r="H2" s="55"/>
      <c r="K2" s="57"/>
    </row>
    <row r="3" spans="3:14" x14ac:dyDescent="0.25">
      <c r="C3" s="56"/>
      <c r="D3" s="55"/>
      <c r="E3" s="55"/>
      <c r="F3" s="55"/>
      <c r="G3" s="55"/>
      <c r="H3" s="55"/>
      <c r="K3" s="57"/>
    </row>
    <row r="4" spans="3:14" x14ac:dyDescent="0.25">
      <c r="C4" s="56"/>
      <c r="D4" s="55"/>
      <c r="E4" s="55"/>
      <c r="F4" s="55"/>
      <c r="G4" s="55"/>
      <c r="H4" s="55"/>
      <c r="K4" s="57"/>
    </row>
    <row r="5" spans="3:14" ht="75" customHeight="1" x14ac:dyDescent="0.25">
      <c r="C5" s="56"/>
      <c r="D5" s="55"/>
      <c r="E5" s="116"/>
      <c r="F5" s="116"/>
      <c r="G5" s="116"/>
      <c r="H5" s="116"/>
      <c r="J5" s="58"/>
      <c r="K5" s="59"/>
      <c r="L5" s="60"/>
    </row>
    <row r="6" spans="3:14" ht="15.75" thickBot="1" x14ac:dyDescent="0.3">
      <c r="K6" s="57"/>
    </row>
    <row r="7" spans="3:14" ht="24.75" customHeight="1" thickBot="1" x14ac:dyDescent="0.3">
      <c r="C7" s="10" t="s">
        <v>153</v>
      </c>
      <c r="D7" s="11"/>
      <c r="E7" s="11"/>
      <c r="F7" s="11"/>
      <c r="G7" s="11"/>
      <c r="H7" s="12"/>
      <c r="K7" s="57"/>
    </row>
    <row r="8" spans="3:14" ht="15.75" thickBot="1" x14ac:dyDescent="0.3">
      <c r="C8" s="38"/>
      <c r="D8" s="38"/>
      <c r="E8" s="38"/>
      <c r="F8" s="38"/>
      <c r="G8" s="38"/>
      <c r="H8" s="38"/>
      <c r="K8" s="57"/>
      <c r="M8"/>
      <c r="N8"/>
    </row>
    <row r="9" spans="3:14" ht="20.100000000000001" customHeight="1" x14ac:dyDescent="0.25">
      <c r="C9" s="13" t="s">
        <v>152</v>
      </c>
      <c r="D9" s="14" t="s">
        <v>0</v>
      </c>
      <c r="E9" s="15"/>
      <c r="F9" s="15"/>
      <c r="G9" s="15"/>
      <c r="H9" s="16"/>
      <c r="M9"/>
      <c r="N9"/>
    </row>
    <row r="10" spans="3:14" ht="55.5" customHeight="1" thickBot="1" x14ac:dyDescent="0.3">
      <c r="C10" s="17" t="s">
        <v>502</v>
      </c>
      <c r="D10" s="52" t="str">
        <f>VLOOKUP($C$10,Tabla1[],MATCH(Ficha!D9,Tabla1[#Headers],0))</f>
        <v>DIAGNOSTICO Y CLASIFICACIÓN DE LOS CURSOS Y CUERPOS DE AGUA SEGÚN OBJETIVOS DE CALIDAD, CUENCA MATAQUITO</v>
      </c>
      <c r="E10" s="50"/>
      <c r="F10" s="50"/>
      <c r="G10" s="50"/>
      <c r="H10" s="51"/>
      <c r="M10"/>
      <c r="N10"/>
    </row>
    <row r="11" spans="3:14" ht="20.100000000000001" customHeight="1" x14ac:dyDescent="0.25">
      <c r="C11" s="14" t="s">
        <v>154</v>
      </c>
      <c r="D11" s="15"/>
      <c r="E11" s="16"/>
      <c r="F11" s="14" t="s">
        <v>155</v>
      </c>
      <c r="G11" s="16"/>
      <c r="H11" s="13" t="s">
        <v>51</v>
      </c>
      <c r="M11"/>
      <c r="N11"/>
    </row>
    <row r="12" spans="3:14" ht="37.5" customHeight="1" thickBot="1" x14ac:dyDescent="0.3">
      <c r="C12" s="49" t="str">
        <f>VLOOKUP($C$10,Tabla1[],MATCH(Ficha!C11,Tabla1[#Headers],0))</f>
        <v>CADE INDIPE</v>
      </c>
      <c r="D12" s="50"/>
      <c r="E12" s="51"/>
      <c r="F12" s="49" t="str">
        <f>VLOOKUP($C$10,Tabla1[],MATCH(Ficha!F11,Tabla1[#Headers],0))</f>
        <v>Dirección General de Aguas (DGA)</v>
      </c>
      <c r="G12" s="51"/>
      <c r="H12" s="17">
        <f>VLOOKUP($C$10,Tabla1[],MATCH(Ficha!H11,Tabla1[#Headers],0))</f>
        <v>2004</v>
      </c>
      <c r="M12"/>
      <c r="N12"/>
    </row>
    <row r="13" spans="3:14" ht="20.100000000000001" customHeight="1" x14ac:dyDescent="0.25">
      <c r="C13" s="14" t="s">
        <v>120</v>
      </c>
      <c r="D13" s="16"/>
      <c r="E13" s="14" t="s">
        <v>105</v>
      </c>
      <c r="F13" s="15"/>
      <c r="G13" s="108" t="s">
        <v>1</v>
      </c>
      <c r="H13" s="109"/>
      <c r="M13"/>
      <c r="N13"/>
    </row>
    <row r="14" spans="3:14" ht="27" customHeight="1" thickBot="1" x14ac:dyDescent="0.3">
      <c r="C14" s="49" t="str">
        <f>VLOOKUP($C$10,Tabla1[],MATCH(Ficha!C13,Tabla1[#Headers],0))</f>
        <v>Estudio o Informe Técnico</v>
      </c>
      <c r="D14" s="51"/>
      <c r="E14" s="49" t="str">
        <f>VLOOKUP($C$10,Tabla1[],MATCH(Ficha!E13,Tabla1[#Headers],0))</f>
        <v>Calidad del Agua</v>
      </c>
      <c r="F14" s="51"/>
      <c r="G14" s="49" t="str">
        <f>VLOOKUP($C$10,Tabla1[],MATCH(Ficha!G13,Tabla1[#Headers],0))</f>
        <v>Cuenca Mataquito</v>
      </c>
      <c r="H14" s="51"/>
      <c r="M14"/>
      <c r="N14"/>
    </row>
    <row r="15" spans="3:14" ht="15.75" thickBot="1" x14ac:dyDescent="0.3">
      <c r="C15" s="18"/>
      <c r="D15" s="19"/>
      <c r="E15" s="19"/>
      <c r="F15" s="19"/>
      <c r="G15" s="19"/>
      <c r="H15" s="19"/>
      <c r="M15"/>
      <c r="N15"/>
    </row>
    <row r="16" spans="3:14" ht="20.100000000000001" customHeight="1" x14ac:dyDescent="0.25">
      <c r="C16" s="20" t="s">
        <v>156</v>
      </c>
      <c r="D16" s="15"/>
      <c r="E16" s="15"/>
      <c r="F16" s="15"/>
      <c r="G16" s="15"/>
      <c r="H16" s="21"/>
      <c r="M16"/>
      <c r="N16"/>
    </row>
    <row r="17" spans="3:14" ht="229.5" customHeight="1" x14ac:dyDescent="0.25">
      <c r="C17" s="110" t="str">
        <f>VLOOKUP($C$10,Tabla1[],MATCH(Ficha!C16,Tabla1[#Headers],0))</f>
        <v>El estudio se centra en 7 cauces: río Mataquito,  río Teno, río Lontué, río Colorado, río Claro, río Patos de San Pedro y estero Upeo.
Incluye una descripción general de la cuenca (sistema físico natural, flora y fauna, sistemas humanos, y usos del suelo), caracteriza el régimen hidrológico de cada uno de ellos en base a los caudales mensuales y la calidad del agua según diferentes parámetros (conductividad eléctrica, DBO5, oxígeno disuelto, pH, sólidos en suspensión y coliformes fecales) y el contenido de diferentes elementos (sulfatos, cobre, cromo, hierro, manganeso, molibdeno, aluminio)</v>
      </c>
      <c r="D17" s="111"/>
      <c r="E17" s="111"/>
      <c r="F17" s="111"/>
      <c r="G17" s="111"/>
      <c r="H17" s="112"/>
      <c r="M17"/>
      <c r="N17"/>
    </row>
    <row r="18" spans="3:14" ht="15.75" thickBot="1" x14ac:dyDescent="0.3">
      <c r="M18"/>
      <c r="N18"/>
    </row>
    <row r="19" spans="3:14" x14ac:dyDescent="0.25">
      <c r="C19" s="20" t="s">
        <v>495</v>
      </c>
      <c r="D19" s="15"/>
      <c r="E19" s="15"/>
      <c r="F19" s="15"/>
      <c r="G19" s="15"/>
      <c r="H19" s="21"/>
      <c r="M19"/>
      <c r="N19"/>
    </row>
    <row r="20" spans="3:14" ht="88.5" customHeight="1" x14ac:dyDescent="0.25">
      <c r="C20" s="113" t="str">
        <f>VLOOKUP($C$10,Tabla1[],MATCH(Ficha!C19,Tabla1[#Headers],0))</f>
        <v>Información relevante para el diagnóstico de calidad de aguas en la Cuenca del Mataquito tales como información fluviométricas, descargas a cursos de Agua y datos de monitoreo.</v>
      </c>
      <c r="D20" s="114"/>
      <c r="E20" s="114"/>
      <c r="F20" s="114"/>
      <c r="G20" s="114"/>
      <c r="H20" s="115"/>
      <c r="M20"/>
      <c r="N20"/>
    </row>
    <row r="21" spans="3:14" x14ac:dyDescent="0.25">
      <c r="M21"/>
      <c r="N21"/>
    </row>
    <row r="22" spans="3:14" ht="15" customHeight="1" x14ac:dyDescent="0.25">
      <c r="C22" s="61" t="s">
        <v>497</v>
      </c>
      <c r="D22" s="55"/>
      <c r="E22" s="55"/>
      <c r="F22" s="55"/>
      <c r="G22" s="55"/>
      <c r="M22"/>
      <c r="N22"/>
    </row>
    <row r="23" spans="3:14" x14ac:dyDescent="0.25">
      <c r="C23" s="62" t="s">
        <v>641</v>
      </c>
      <c r="H23" s="63" t="s">
        <v>642</v>
      </c>
      <c r="M23"/>
      <c r="N23"/>
    </row>
    <row r="24" spans="3:14" x14ac:dyDescent="0.25">
      <c r="H24" s="63"/>
      <c r="M24"/>
      <c r="N24"/>
    </row>
    <row r="25" spans="3:14" x14ac:dyDescent="0.25">
      <c r="M25"/>
      <c r="N25"/>
    </row>
    <row r="37" spans="3:3" x14ac:dyDescent="0.25">
      <c r="C37"/>
    </row>
    <row r="38" spans="3:3" x14ac:dyDescent="0.25">
      <c r="C38"/>
    </row>
    <row r="39" spans="3:3" x14ac:dyDescent="0.25">
      <c r="C39"/>
    </row>
    <row r="40" spans="3:3" x14ac:dyDescent="0.25">
      <c r="C40"/>
    </row>
    <row r="41" spans="3:3" x14ac:dyDescent="0.25">
      <c r="C41"/>
    </row>
    <row r="42" spans="3:3" x14ac:dyDescent="0.25">
      <c r="C42"/>
    </row>
    <row r="43" spans="3:3" x14ac:dyDescent="0.25">
      <c r="C43"/>
    </row>
    <row r="44" spans="3:3" x14ac:dyDescent="0.25">
      <c r="C44"/>
    </row>
    <row r="45" spans="3:3" x14ac:dyDescent="0.25">
      <c r="C45"/>
    </row>
    <row r="46" spans="3:3" x14ac:dyDescent="0.25">
      <c r="C46"/>
    </row>
    <row r="47" spans="3:3" x14ac:dyDescent="0.25">
      <c r="C47"/>
    </row>
    <row r="48" spans="3:3"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row r="119" spans="3:3" x14ac:dyDescent="0.25">
      <c r="C119"/>
    </row>
    <row r="120" spans="3:3" x14ac:dyDescent="0.25">
      <c r="C120"/>
    </row>
    <row r="121" spans="3:3" x14ac:dyDescent="0.25">
      <c r="C121"/>
    </row>
    <row r="122" spans="3:3" x14ac:dyDescent="0.25">
      <c r="C122"/>
    </row>
    <row r="123" spans="3:3" x14ac:dyDescent="0.25">
      <c r="C123"/>
    </row>
    <row r="124" spans="3:3" x14ac:dyDescent="0.25">
      <c r="C124"/>
    </row>
    <row r="125" spans="3:3" x14ac:dyDescent="0.25">
      <c r="C125"/>
    </row>
    <row r="126" spans="3:3" x14ac:dyDescent="0.25">
      <c r="C126"/>
    </row>
    <row r="127" spans="3:3" x14ac:dyDescent="0.25">
      <c r="C127"/>
    </row>
    <row r="128" spans="3:3" x14ac:dyDescent="0.25">
      <c r="C128"/>
    </row>
    <row r="129" spans="3:3" x14ac:dyDescent="0.25">
      <c r="C129"/>
    </row>
    <row r="130" spans="3:3" x14ac:dyDescent="0.25">
      <c r="C130"/>
    </row>
    <row r="131" spans="3:3" x14ac:dyDescent="0.25">
      <c r="C131"/>
    </row>
    <row r="132" spans="3:3" x14ac:dyDescent="0.25">
      <c r="C132"/>
    </row>
    <row r="133" spans="3:3" x14ac:dyDescent="0.25">
      <c r="C133"/>
    </row>
    <row r="134" spans="3:3" x14ac:dyDescent="0.25">
      <c r="C134"/>
    </row>
    <row r="135" spans="3:3" x14ac:dyDescent="0.25">
      <c r="C135"/>
    </row>
    <row r="136" spans="3:3" x14ac:dyDescent="0.25">
      <c r="C136"/>
    </row>
    <row r="137" spans="3:3" x14ac:dyDescent="0.25">
      <c r="C137"/>
    </row>
    <row r="138" spans="3:3" x14ac:dyDescent="0.25">
      <c r="C138"/>
    </row>
    <row r="139" spans="3:3" x14ac:dyDescent="0.25">
      <c r="C139"/>
    </row>
    <row r="140" spans="3:3" x14ac:dyDescent="0.25">
      <c r="C140"/>
    </row>
    <row r="141" spans="3:3" x14ac:dyDescent="0.25">
      <c r="C141"/>
    </row>
    <row r="142" spans="3:3" x14ac:dyDescent="0.25">
      <c r="C142"/>
    </row>
    <row r="143" spans="3:3" x14ac:dyDescent="0.25">
      <c r="C143"/>
    </row>
    <row r="144" spans="3:3"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sheetData>
  <mergeCells count="4">
    <mergeCell ref="G13:H13"/>
    <mergeCell ref="C17:H17"/>
    <mergeCell ref="C20:H20"/>
    <mergeCell ref="E5:H5"/>
  </mergeCells>
  <printOptions horizontalCentered="1"/>
  <pageMargins left="0.70866141732283472" right="0.70866141732283472" top="0.74803149606299213" bottom="0.74803149606299213"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RelDocs!$E$2:$E$470</xm:f>
          </x14:formula1>
          <xm:sqref>C10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1:I193"/>
  <sheetViews>
    <sheetView workbookViewId="0">
      <selection activeCell="C22" sqref="C21:C193"/>
      <pivotSelection pane="bottomRight" showHeader="1" activeRow="21" activeCol="2" click="1" r:id="rId1">
        <pivotArea dataOnly="0" labelOnly="1" fieldPosition="0">
          <references count="1">
            <reference field="0" count="0"/>
          </references>
        </pivotArea>
      </pivotSelection>
    </sheetView>
  </sheetViews>
  <sheetFormatPr baseColWidth="10" defaultRowHeight="15" x14ac:dyDescent="0.25"/>
  <cols>
    <col min="3" max="3" width="18.28515625" customWidth="1"/>
    <col min="4" max="4" width="9.85546875" customWidth="1"/>
    <col min="9" max="9" width="38.7109375" customWidth="1"/>
  </cols>
  <sheetData>
    <row r="1" spans="2:9" x14ac:dyDescent="0.25">
      <c r="B1" s="64" t="s">
        <v>651</v>
      </c>
      <c r="C1" s="38" t="s">
        <v>998</v>
      </c>
    </row>
    <row r="2" spans="2:9" s="38" customFormat="1" x14ac:dyDescent="0.25">
      <c r="B2" s="64" t="s">
        <v>643</v>
      </c>
      <c r="C2" s="64" t="str">
        <f>"C21:"&amp;"C"&amp;(20+F11)</f>
        <v>C21:C193</v>
      </c>
    </row>
    <row r="3" spans="2:9" s="38" customFormat="1" x14ac:dyDescent="0.25"/>
    <row r="4" spans="2:9" s="38" customFormat="1" x14ac:dyDescent="0.25"/>
    <row r="5" spans="2:9" s="38" customFormat="1" x14ac:dyDescent="0.25"/>
    <row r="6" spans="2:9" s="38" customFormat="1" x14ac:dyDescent="0.25">
      <c r="C6" s="22"/>
    </row>
    <row r="7" spans="2:9" s="38" customFormat="1" x14ac:dyDescent="0.25"/>
    <row r="8" spans="2:9" s="38" customFormat="1" x14ac:dyDescent="0.25">
      <c r="C8" s="67" t="s">
        <v>647</v>
      </c>
      <c r="D8" s="68"/>
      <c r="E8" s="68"/>
      <c r="F8" s="68"/>
      <c r="G8" s="66"/>
      <c r="H8" s="66"/>
      <c r="I8" s="117" t="s">
        <v>652</v>
      </c>
    </row>
    <row r="9" spans="2:9" s="38" customFormat="1" x14ac:dyDescent="0.25">
      <c r="C9" s="67" t="s">
        <v>644</v>
      </c>
      <c r="D9" s="68"/>
      <c r="E9" s="68"/>
      <c r="F9" s="68"/>
      <c r="G9" s="66"/>
      <c r="H9" s="66"/>
      <c r="I9" s="117"/>
    </row>
    <row r="10" spans="2:9" s="38" customFormat="1" x14ac:dyDescent="0.25">
      <c r="C10" s="67" t="s">
        <v>646</v>
      </c>
      <c r="D10" s="68"/>
      <c r="E10" s="68"/>
      <c r="F10" s="68"/>
      <c r="G10" s="66"/>
      <c r="H10" s="66"/>
      <c r="I10" s="117"/>
    </row>
    <row r="11" spans="2:9" s="38" customFormat="1" x14ac:dyDescent="0.25">
      <c r="C11" s="65" t="s">
        <v>648</v>
      </c>
      <c r="D11" s="65"/>
      <c r="E11" s="65"/>
      <c r="F11" s="69">
        <f>COUNTA(C21:C510)</f>
        <v>173</v>
      </c>
      <c r="G11" s="66"/>
      <c r="H11" s="66"/>
      <c r="I11" s="117"/>
    </row>
    <row r="12" spans="2:9" s="38" customFormat="1" x14ac:dyDescent="0.25">
      <c r="C12" s="3" t="s">
        <v>120</v>
      </c>
      <c r="D12" s="38" t="s">
        <v>645</v>
      </c>
    </row>
    <row r="13" spans="2:9" s="38" customFormat="1" x14ac:dyDescent="0.25">
      <c r="C13" s="3" t="s">
        <v>0</v>
      </c>
      <c r="D13" s="38" t="s">
        <v>645</v>
      </c>
    </row>
    <row r="14" spans="2:9" s="38" customFormat="1" x14ac:dyDescent="0.25">
      <c r="C14" s="3" t="s">
        <v>51</v>
      </c>
      <c r="D14" s="38" t="s">
        <v>645</v>
      </c>
    </row>
    <row r="15" spans="2:9" s="38" customFormat="1" x14ac:dyDescent="0.25">
      <c r="C15" s="3" t="s">
        <v>154</v>
      </c>
      <c r="D15" s="38" t="s">
        <v>645</v>
      </c>
    </row>
    <row r="16" spans="2:9" s="38" customFormat="1" x14ac:dyDescent="0.25">
      <c r="C16" s="3" t="s">
        <v>155</v>
      </c>
      <c r="D16" s="38" t="s">
        <v>645</v>
      </c>
    </row>
    <row r="17" spans="3:4" x14ac:dyDescent="0.25">
      <c r="C17" s="3" t="s">
        <v>105</v>
      </c>
      <c r="D17" s="38" t="s">
        <v>645</v>
      </c>
    </row>
    <row r="18" spans="3:4" x14ac:dyDescent="0.25">
      <c r="C18" s="3" t="s">
        <v>1</v>
      </c>
      <c r="D18" s="38" t="s">
        <v>645</v>
      </c>
    </row>
    <row r="19" spans="3:4" x14ac:dyDescent="0.25">
      <c r="C19" s="9"/>
    </row>
    <row r="20" spans="3:4" x14ac:dyDescent="0.25">
      <c r="C20" s="3" t="s">
        <v>649</v>
      </c>
    </row>
    <row r="21" spans="3:4" x14ac:dyDescent="0.25">
      <c r="C21" s="4" t="s">
        <v>500</v>
      </c>
    </row>
    <row r="22" spans="3:4" x14ac:dyDescent="0.25">
      <c r="C22" s="4" t="s">
        <v>501</v>
      </c>
    </row>
    <row r="23" spans="3:4" x14ac:dyDescent="0.25">
      <c r="C23" s="4" t="s">
        <v>502</v>
      </c>
    </row>
    <row r="24" spans="3:4" x14ac:dyDescent="0.25">
      <c r="C24" s="4" t="s">
        <v>503</v>
      </c>
    </row>
    <row r="25" spans="3:4" x14ac:dyDescent="0.25">
      <c r="C25" s="4" t="s">
        <v>504</v>
      </c>
    </row>
    <row r="26" spans="3:4" x14ac:dyDescent="0.25">
      <c r="C26" s="4" t="s">
        <v>505</v>
      </c>
    </row>
    <row r="27" spans="3:4" x14ac:dyDescent="0.25">
      <c r="C27" s="4" t="s">
        <v>506</v>
      </c>
    </row>
    <row r="28" spans="3:4" x14ac:dyDescent="0.25">
      <c r="C28" s="4" t="s">
        <v>507</v>
      </c>
    </row>
    <row r="29" spans="3:4" x14ac:dyDescent="0.25">
      <c r="C29" s="4" t="s">
        <v>508</v>
      </c>
    </row>
    <row r="30" spans="3:4" x14ac:dyDescent="0.25">
      <c r="C30" s="4" t="s">
        <v>509</v>
      </c>
    </row>
    <row r="31" spans="3:4" x14ac:dyDescent="0.25">
      <c r="C31" s="4" t="s">
        <v>510</v>
      </c>
    </row>
    <row r="32" spans="3:4" x14ac:dyDescent="0.25">
      <c r="C32" s="4" t="s">
        <v>511</v>
      </c>
    </row>
    <row r="33" spans="3:3" x14ac:dyDescent="0.25">
      <c r="C33" s="4" t="s">
        <v>512</v>
      </c>
    </row>
    <row r="34" spans="3:3" x14ac:dyDescent="0.25">
      <c r="C34" s="4" t="s">
        <v>513</v>
      </c>
    </row>
    <row r="35" spans="3:3" x14ac:dyDescent="0.25">
      <c r="C35" s="4" t="s">
        <v>514</v>
      </c>
    </row>
    <row r="36" spans="3:3" x14ac:dyDescent="0.25">
      <c r="C36" s="4" t="s">
        <v>515</v>
      </c>
    </row>
    <row r="37" spans="3:3" x14ac:dyDescent="0.25">
      <c r="C37" s="4" t="s">
        <v>516</v>
      </c>
    </row>
    <row r="38" spans="3:3" x14ac:dyDescent="0.25">
      <c r="C38" s="4" t="s">
        <v>517</v>
      </c>
    </row>
    <row r="39" spans="3:3" x14ac:dyDescent="0.25">
      <c r="C39" s="4" t="s">
        <v>979</v>
      </c>
    </row>
    <row r="40" spans="3:3" x14ac:dyDescent="0.25">
      <c r="C40" s="4" t="s">
        <v>518</v>
      </c>
    </row>
    <row r="41" spans="3:3" x14ac:dyDescent="0.25">
      <c r="C41" s="4" t="s">
        <v>519</v>
      </c>
    </row>
    <row r="42" spans="3:3" x14ac:dyDescent="0.25">
      <c r="C42" s="4" t="s">
        <v>520</v>
      </c>
    </row>
    <row r="43" spans="3:3" x14ac:dyDescent="0.25">
      <c r="C43" s="4" t="s">
        <v>980</v>
      </c>
    </row>
    <row r="44" spans="3:3" x14ac:dyDescent="0.25">
      <c r="C44" s="4" t="s">
        <v>981</v>
      </c>
    </row>
    <row r="45" spans="3:3" x14ac:dyDescent="0.25">
      <c r="C45" s="4" t="s">
        <v>521</v>
      </c>
    </row>
    <row r="46" spans="3:3" x14ac:dyDescent="0.25">
      <c r="C46" s="4" t="s">
        <v>522</v>
      </c>
    </row>
    <row r="47" spans="3:3" x14ac:dyDescent="0.25">
      <c r="C47" s="4" t="s">
        <v>982</v>
      </c>
    </row>
    <row r="48" spans="3:3" x14ac:dyDescent="0.25">
      <c r="C48" s="4" t="s">
        <v>983</v>
      </c>
    </row>
    <row r="49" spans="3:3" x14ac:dyDescent="0.25">
      <c r="C49" s="4" t="s">
        <v>732</v>
      </c>
    </row>
    <row r="50" spans="3:3" x14ac:dyDescent="0.25">
      <c r="C50" s="4" t="s">
        <v>523</v>
      </c>
    </row>
    <row r="51" spans="3:3" x14ac:dyDescent="0.25">
      <c r="C51" s="4" t="s">
        <v>524</v>
      </c>
    </row>
    <row r="52" spans="3:3" x14ac:dyDescent="0.25">
      <c r="C52" s="4" t="s">
        <v>525</v>
      </c>
    </row>
    <row r="53" spans="3:3" x14ac:dyDescent="0.25">
      <c r="C53" s="4" t="s">
        <v>496</v>
      </c>
    </row>
    <row r="54" spans="3:3" x14ac:dyDescent="0.25">
      <c r="C54" s="4" t="s">
        <v>984</v>
      </c>
    </row>
    <row r="55" spans="3:3" x14ac:dyDescent="0.25">
      <c r="C55" s="4" t="s">
        <v>526</v>
      </c>
    </row>
    <row r="56" spans="3:3" x14ac:dyDescent="0.25">
      <c r="C56" s="4" t="s">
        <v>985</v>
      </c>
    </row>
    <row r="57" spans="3:3" x14ac:dyDescent="0.25">
      <c r="C57" s="4" t="s">
        <v>733</v>
      </c>
    </row>
    <row r="58" spans="3:3" x14ac:dyDescent="0.25">
      <c r="C58" s="4" t="s">
        <v>847</v>
      </c>
    </row>
    <row r="59" spans="3:3" x14ac:dyDescent="0.25">
      <c r="C59" s="4" t="s">
        <v>848</v>
      </c>
    </row>
    <row r="60" spans="3:3" x14ac:dyDescent="0.25">
      <c r="C60" s="4" t="s">
        <v>527</v>
      </c>
    </row>
    <row r="61" spans="3:3" x14ac:dyDescent="0.25">
      <c r="C61" s="4" t="s">
        <v>528</v>
      </c>
    </row>
    <row r="62" spans="3:3" x14ac:dyDescent="0.25">
      <c r="C62" s="4" t="s">
        <v>529</v>
      </c>
    </row>
    <row r="63" spans="3:3" x14ac:dyDescent="0.25">
      <c r="C63" s="4" t="s">
        <v>530</v>
      </c>
    </row>
    <row r="64" spans="3:3" x14ac:dyDescent="0.25">
      <c r="C64" s="4" t="s">
        <v>531</v>
      </c>
    </row>
    <row r="65" spans="3:3" x14ac:dyDescent="0.25">
      <c r="C65" s="4" t="s">
        <v>532</v>
      </c>
    </row>
    <row r="66" spans="3:3" x14ac:dyDescent="0.25">
      <c r="C66" s="4" t="s">
        <v>533</v>
      </c>
    </row>
    <row r="67" spans="3:3" x14ac:dyDescent="0.25">
      <c r="C67" s="4" t="s">
        <v>534</v>
      </c>
    </row>
    <row r="68" spans="3:3" x14ac:dyDescent="0.25">
      <c r="C68" s="4" t="s">
        <v>734</v>
      </c>
    </row>
    <row r="69" spans="3:3" x14ac:dyDescent="0.25">
      <c r="C69" s="4" t="s">
        <v>535</v>
      </c>
    </row>
    <row r="70" spans="3:3" x14ac:dyDescent="0.25">
      <c r="C70" s="4" t="s">
        <v>536</v>
      </c>
    </row>
    <row r="71" spans="3:3" x14ac:dyDescent="0.25">
      <c r="C71" s="4" t="s">
        <v>537</v>
      </c>
    </row>
    <row r="72" spans="3:3" x14ac:dyDescent="0.25">
      <c r="C72" s="4" t="s">
        <v>538</v>
      </c>
    </row>
    <row r="73" spans="3:3" x14ac:dyDescent="0.25">
      <c r="C73" s="4" t="s">
        <v>539</v>
      </c>
    </row>
    <row r="74" spans="3:3" x14ac:dyDescent="0.25">
      <c r="C74" s="4" t="s">
        <v>540</v>
      </c>
    </row>
    <row r="75" spans="3:3" x14ac:dyDescent="0.25">
      <c r="C75" s="4" t="s">
        <v>541</v>
      </c>
    </row>
    <row r="76" spans="3:3" x14ac:dyDescent="0.25">
      <c r="C76" s="4" t="s">
        <v>542</v>
      </c>
    </row>
    <row r="77" spans="3:3" x14ac:dyDescent="0.25">
      <c r="C77" s="4" t="s">
        <v>543</v>
      </c>
    </row>
    <row r="78" spans="3:3" x14ac:dyDescent="0.25">
      <c r="C78" s="4" t="s">
        <v>544</v>
      </c>
    </row>
    <row r="79" spans="3:3" x14ac:dyDescent="0.25">
      <c r="C79" s="4" t="s">
        <v>545</v>
      </c>
    </row>
    <row r="80" spans="3:3" x14ac:dyDescent="0.25">
      <c r="C80" s="4" t="s">
        <v>546</v>
      </c>
    </row>
    <row r="81" spans="3:3" x14ac:dyDescent="0.25">
      <c r="C81" s="4" t="s">
        <v>547</v>
      </c>
    </row>
    <row r="82" spans="3:3" x14ac:dyDescent="0.25">
      <c r="C82" s="4" t="s">
        <v>548</v>
      </c>
    </row>
    <row r="83" spans="3:3" x14ac:dyDescent="0.25">
      <c r="C83" s="4" t="s">
        <v>549</v>
      </c>
    </row>
    <row r="84" spans="3:3" x14ac:dyDescent="0.25">
      <c r="C84" s="4" t="s">
        <v>550</v>
      </c>
    </row>
    <row r="85" spans="3:3" x14ac:dyDescent="0.25">
      <c r="C85" s="4" t="s">
        <v>551</v>
      </c>
    </row>
    <row r="86" spans="3:3" x14ac:dyDescent="0.25">
      <c r="C86" s="4" t="s">
        <v>552</v>
      </c>
    </row>
    <row r="87" spans="3:3" x14ac:dyDescent="0.25">
      <c r="C87" s="4" t="s">
        <v>553</v>
      </c>
    </row>
    <row r="88" spans="3:3" x14ac:dyDescent="0.25">
      <c r="C88" s="4" t="s">
        <v>554</v>
      </c>
    </row>
    <row r="89" spans="3:3" x14ac:dyDescent="0.25">
      <c r="C89" s="4" t="s">
        <v>555</v>
      </c>
    </row>
    <row r="90" spans="3:3" x14ac:dyDescent="0.25">
      <c r="C90" s="4" t="s">
        <v>556</v>
      </c>
    </row>
    <row r="91" spans="3:3" x14ac:dyDescent="0.25">
      <c r="C91" s="4" t="s">
        <v>557</v>
      </c>
    </row>
    <row r="92" spans="3:3" x14ac:dyDescent="0.25">
      <c r="C92" s="4" t="s">
        <v>558</v>
      </c>
    </row>
    <row r="93" spans="3:3" x14ac:dyDescent="0.25">
      <c r="C93" s="4" t="s">
        <v>559</v>
      </c>
    </row>
    <row r="94" spans="3:3" x14ac:dyDescent="0.25">
      <c r="C94" s="4" t="s">
        <v>560</v>
      </c>
    </row>
    <row r="95" spans="3:3" x14ac:dyDescent="0.25">
      <c r="C95" s="4" t="s">
        <v>561</v>
      </c>
    </row>
    <row r="96" spans="3:3" x14ac:dyDescent="0.25">
      <c r="C96" s="4" t="s">
        <v>562</v>
      </c>
    </row>
    <row r="97" spans="3:3" x14ac:dyDescent="0.25">
      <c r="C97" s="4" t="s">
        <v>563</v>
      </c>
    </row>
    <row r="98" spans="3:3" x14ac:dyDescent="0.25">
      <c r="C98" s="4" t="s">
        <v>564</v>
      </c>
    </row>
    <row r="99" spans="3:3" x14ac:dyDescent="0.25">
      <c r="C99" s="4" t="s">
        <v>565</v>
      </c>
    </row>
    <row r="100" spans="3:3" x14ac:dyDescent="0.25">
      <c r="C100" s="4" t="s">
        <v>566</v>
      </c>
    </row>
    <row r="101" spans="3:3" x14ac:dyDescent="0.25">
      <c r="C101" s="4" t="s">
        <v>735</v>
      </c>
    </row>
    <row r="102" spans="3:3" x14ac:dyDescent="0.25">
      <c r="C102" s="4" t="s">
        <v>567</v>
      </c>
    </row>
    <row r="103" spans="3:3" x14ac:dyDescent="0.25">
      <c r="C103" s="4" t="s">
        <v>568</v>
      </c>
    </row>
    <row r="104" spans="3:3" x14ac:dyDescent="0.25">
      <c r="C104" s="4" t="s">
        <v>569</v>
      </c>
    </row>
    <row r="105" spans="3:3" x14ac:dyDescent="0.25">
      <c r="C105" s="4" t="s">
        <v>570</v>
      </c>
    </row>
    <row r="106" spans="3:3" x14ac:dyDescent="0.25">
      <c r="C106" s="4" t="s">
        <v>571</v>
      </c>
    </row>
    <row r="107" spans="3:3" x14ac:dyDescent="0.25">
      <c r="C107" s="4" t="s">
        <v>572</v>
      </c>
    </row>
    <row r="108" spans="3:3" x14ac:dyDescent="0.25">
      <c r="C108" s="4" t="s">
        <v>573</v>
      </c>
    </row>
    <row r="109" spans="3:3" x14ac:dyDescent="0.25">
      <c r="C109" s="4" t="s">
        <v>574</v>
      </c>
    </row>
    <row r="110" spans="3:3" x14ac:dyDescent="0.25">
      <c r="C110" s="4" t="s">
        <v>575</v>
      </c>
    </row>
    <row r="111" spans="3:3" x14ac:dyDescent="0.25">
      <c r="C111" s="4" t="s">
        <v>576</v>
      </c>
    </row>
    <row r="112" spans="3:3" x14ac:dyDescent="0.25">
      <c r="C112" s="4" t="s">
        <v>577</v>
      </c>
    </row>
    <row r="113" spans="3:3" x14ac:dyDescent="0.25">
      <c r="C113" s="4" t="s">
        <v>578</v>
      </c>
    </row>
    <row r="114" spans="3:3" x14ac:dyDescent="0.25">
      <c r="C114" s="4" t="s">
        <v>579</v>
      </c>
    </row>
    <row r="115" spans="3:3" x14ac:dyDescent="0.25">
      <c r="C115" s="4" t="s">
        <v>580</v>
      </c>
    </row>
    <row r="116" spans="3:3" x14ac:dyDescent="0.25">
      <c r="C116" s="4" t="s">
        <v>581</v>
      </c>
    </row>
    <row r="117" spans="3:3" x14ac:dyDescent="0.25">
      <c r="C117" s="4" t="s">
        <v>582</v>
      </c>
    </row>
    <row r="118" spans="3:3" x14ac:dyDescent="0.25">
      <c r="C118" s="4" t="s">
        <v>583</v>
      </c>
    </row>
    <row r="119" spans="3:3" x14ac:dyDescent="0.25">
      <c r="C119" s="4" t="s">
        <v>584</v>
      </c>
    </row>
    <row r="120" spans="3:3" x14ac:dyDescent="0.25">
      <c r="C120" s="4" t="s">
        <v>585</v>
      </c>
    </row>
    <row r="121" spans="3:3" x14ac:dyDescent="0.25">
      <c r="C121" s="4" t="s">
        <v>586</v>
      </c>
    </row>
    <row r="122" spans="3:3" x14ac:dyDescent="0.25">
      <c r="C122" s="4" t="s">
        <v>587</v>
      </c>
    </row>
    <row r="123" spans="3:3" x14ac:dyDescent="0.25">
      <c r="C123" s="4" t="s">
        <v>588</v>
      </c>
    </row>
    <row r="124" spans="3:3" x14ac:dyDescent="0.25">
      <c r="C124" s="4" t="s">
        <v>589</v>
      </c>
    </row>
    <row r="125" spans="3:3" x14ac:dyDescent="0.25">
      <c r="C125" s="4" t="s">
        <v>590</v>
      </c>
    </row>
    <row r="126" spans="3:3" x14ac:dyDescent="0.25">
      <c r="C126" s="4" t="s">
        <v>591</v>
      </c>
    </row>
    <row r="127" spans="3:3" x14ac:dyDescent="0.25">
      <c r="C127" s="4" t="s">
        <v>592</v>
      </c>
    </row>
    <row r="128" spans="3:3" x14ac:dyDescent="0.25">
      <c r="C128" s="4" t="s">
        <v>593</v>
      </c>
    </row>
    <row r="129" spans="3:3" x14ac:dyDescent="0.25">
      <c r="C129" s="4" t="s">
        <v>594</v>
      </c>
    </row>
    <row r="130" spans="3:3" x14ac:dyDescent="0.25">
      <c r="C130" s="4" t="s">
        <v>986</v>
      </c>
    </row>
    <row r="131" spans="3:3" x14ac:dyDescent="0.25">
      <c r="C131" s="4" t="s">
        <v>595</v>
      </c>
    </row>
    <row r="132" spans="3:3" x14ac:dyDescent="0.25">
      <c r="C132" s="4" t="s">
        <v>596</v>
      </c>
    </row>
    <row r="133" spans="3:3" x14ac:dyDescent="0.25">
      <c r="C133" s="4" t="s">
        <v>987</v>
      </c>
    </row>
    <row r="134" spans="3:3" x14ac:dyDescent="0.25">
      <c r="C134" s="4" t="s">
        <v>597</v>
      </c>
    </row>
    <row r="135" spans="3:3" x14ac:dyDescent="0.25">
      <c r="C135" s="4" t="s">
        <v>598</v>
      </c>
    </row>
    <row r="136" spans="3:3" x14ac:dyDescent="0.25">
      <c r="C136" s="4" t="s">
        <v>599</v>
      </c>
    </row>
    <row r="137" spans="3:3" x14ac:dyDescent="0.25">
      <c r="C137" s="4" t="s">
        <v>600</v>
      </c>
    </row>
    <row r="138" spans="3:3" x14ac:dyDescent="0.25">
      <c r="C138" s="4" t="s">
        <v>988</v>
      </c>
    </row>
    <row r="139" spans="3:3" x14ac:dyDescent="0.25">
      <c r="C139" s="4" t="s">
        <v>601</v>
      </c>
    </row>
    <row r="140" spans="3:3" x14ac:dyDescent="0.25">
      <c r="C140" s="4" t="s">
        <v>849</v>
      </c>
    </row>
    <row r="141" spans="3:3" x14ac:dyDescent="0.25">
      <c r="C141" s="4" t="s">
        <v>602</v>
      </c>
    </row>
    <row r="142" spans="3:3" x14ac:dyDescent="0.25">
      <c r="C142" s="4" t="s">
        <v>989</v>
      </c>
    </row>
    <row r="143" spans="3:3" x14ac:dyDescent="0.25">
      <c r="C143" s="4" t="s">
        <v>990</v>
      </c>
    </row>
    <row r="144" spans="3:3" x14ac:dyDescent="0.25">
      <c r="C144" s="4" t="s">
        <v>603</v>
      </c>
    </row>
    <row r="145" spans="3:3" x14ac:dyDescent="0.25">
      <c r="C145" s="4" t="s">
        <v>604</v>
      </c>
    </row>
    <row r="146" spans="3:3" x14ac:dyDescent="0.25">
      <c r="C146" s="4" t="s">
        <v>605</v>
      </c>
    </row>
    <row r="147" spans="3:3" x14ac:dyDescent="0.25">
      <c r="C147" s="4" t="s">
        <v>606</v>
      </c>
    </row>
    <row r="148" spans="3:3" x14ac:dyDescent="0.25">
      <c r="C148" s="4" t="s">
        <v>991</v>
      </c>
    </row>
    <row r="149" spans="3:3" x14ac:dyDescent="0.25">
      <c r="C149" s="4" t="s">
        <v>607</v>
      </c>
    </row>
    <row r="150" spans="3:3" x14ac:dyDescent="0.25">
      <c r="C150" s="4" t="s">
        <v>608</v>
      </c>
    </row>
    <row r="151" spans="3:3" x14ac:dyDescent="0.25">
      <c r="C151" s="4" t="s">
        <v>992</v>
      </c>
    </row>
    <row r="152" spans="3:3" x14ac:dyDescent="0.25">
      <c r="C152" s="4" t="s">
        <v>993</v>
      </c>
    </row>
    <row r="153" spans="3:3" x14ac:dyDescent="0.25">
      <c r="C153" s="4" t="s">
        <v>609</v>
      </c>
    </row>
    <row r="154" spans="3:3" x14ac:dyDescent="0.25">
      <c r="C154" s="4" t="s">
        <v>994</v>
      </c>
    </row>
    <row r="155" spans="3:3" x14ac:dyDescent="0.25">
      <c r="C155" s="4" t="s">
        <v>995</v>
      </c>
    </row>
    <row r="156" spans="3:3" x14ac:dyDescent="0.25">
      <c r="C156" s="4" t="s">
        <v>610</v>
      </c>
    </row>
    <row r="157" spans="3:3" x14ac:dyDescent="0.25">
      <c r="C157" s="4" t="s">
        <v>996</v>
      </c>
    </row>
    <row r="158" spans="3:3" x14ac:dyDescent="0.25">
      <c r="C158" s="4" t="s">
        <v>611</v>
      </c>
    </row>
    <row r="159" spans="3:3" x14ac:dyDescent="0.25">
      <c r="C159" s="4" t="s">
        <v>997</v>
      </c>
    </row>
    <row r="160" spans="3:3" x14ac:dyDescent="0.25">
      <c r="C160" s="4" t="s">
        <v>612</v>
      </c>
    </row>
    <row r="161" spans="3:3" x14ac:dyDescent="0.25">
      <c r="C161" s="4" t="s">
        <v>1009</v>
      </c>
    </row>
    <row r="162" spans="3:3" x14ac:dyDescent="0.25">
      <c r="C162" s="4" t="s">
        <v>1010</v>
      </c>
    </row>
    <row r="163" spans="3:3" x14ac:dyDescent="0.25">
      <c r="C163" s="4" t="s">
        <v>1011</v>
      </c>
    </row>
    <row r="164" spans="3:3" x14ac:dyDescent="0.25">
      <c r="C164" s="4" t="s">
        <v>1012</v>
      </c>
    </row>
    <row r="165" spans="3:3" x14ac:dyDescent="0.25">
      <c r="C165" s="4" t="s">
        <v>613</v>
      </c>
    </row>
    <row r="166" spans="3:3" x14ac:dyDescent="0.25">
      <c r="C166" s="4" t="s">
        <v>614</v>
      </c>
    </row>
    <row r="167" spans="3:3" x14ac:dyDescent="0.25">
      <c r="C167" s="4" t="s">
        <v>615</v>
      </c>
    </row>
    <row r="168" spans="3:3" x14ac:dyDescent="0.25">
      <c r="C168" s="4" t="s">
        <v>850</v>
      </c>
    </row>
    <row r="169" spans="3:3" x14ac:dyDescent="0.25">
      <c r="C169" s="4" t="s">
        <v>616</v>
      </c>
    </row>
    <row r="170" spans="3:3" x14ac:dyDescent="0.25">
      <c r="C170" s="4" t="s">
        <v>617</v>
      </c>
    </row>
    <row r="171" spans="3:3" x14ac:dyDescent="0.25">
      <c r="C171" s="4" t="s">
        <v>618</v>
      </c>
    </row>
    <row r="172" spans="3:3" x14ac:dyDescent="0.25">
      <c r="C172" s="4" t="s">
        <v>619</v>
      </c>
    </row>
    <row r="173" spans="3:3" x14ac:dyDescent="0.25">
      <c r="C173" s="4" t="s">
        <v>620</v>
      </c>
    </row>
    <row r="174" spans="3:3" x14ac:dyDescent="0.25">
      <c r="C174" s="4" t="s">
        <v>621</v>
      </c>
    </row>
    <row r="175" spans="3:3" x14ac:dyDescent="0.25">
      <c r="C175" s="4" t="s">
        <v>622</v>
      </c>
    </row>
    <row r="176" spans="3:3" x14ac:dyDescent="0.25">
      <c r="C176" s="4" t="s">
        <v>623</v>
      </c>
    </row>
    <row r="177" spans="3:3" x14ac:dyDescent="0.25">
      <c r="C177" s="4" t="s">
        <v>624</v>
      </c>
    </row>
    <row r="178" spans="3:3" x14ac:dyDescent="0.25">
      <c r="C178" s="4" t="s">
        <v>625</v>
      </c>
    </row>
    <row r="179" spans="3:3" x14ac:dyDescent="0.25">
      <c r="C179" s="4" t="s">
        <v>626</v>
      </c>
    </row>
    <row r="180" spans="3:3" x14ac:dyDescent="0.25">
      <c r="C180" s="4" t="s">
        <v>627</v>
      </c>
    </row>
    <row r="181" spans="3:3" x14ac:dyDescent="0.25">
      <c r="C181" s="4" t="s">
        <v>628</v>
      </c>
    </row>
    <row r="182" spans="3:3" x14ac:dyDescent="0.25">
      <c r="C182" s="4" t="s">
        <v>629</v>
      </c>
    </row>
    <row r="183" spans="3:3" x14ac:dyDescent="0.25">
      <c r="C183" s="4" t="s">
        <v>630</v>
      </c>
    </row>
    <row r="184" spans="3:3" x14ac:dyDescent="0.25">
      <c r="C184" s="4" t="s">
        <v>631</v>
      </c>
    </row>
    <row r="185" spans="3:3" x14ac:dyDescent="0.25">
      <c r="C185" s="4" t="s">
        <v>632</v>
      </c>
    </row>
    <row r="186" spans="3:3" x14ac:dyDescent="0.25">
      <c r="C186" s="4" t="s">
        <v>633</v>
      </c>
    </row>
    <row r="187" spans="3:3" x14ac:dyDescent="0.25">
      <c r="C187" s="4" t="s">
        <v>634</v>
      </c>
    </row>
    <row r="188" spans="3:3" x14ac:dyDescent="0.25">
      <c r="C188" s="4" t="s">
        <v>635</v>
      </c>
    </row>
    <row r="189" spans="3:3" x14ac:dyDescent="0.25">
      <c r="C189" s="4" t="s">
        <v>636</v>
      </c>
    </row>
    <row r="190" spans="3:3" x14ac:dyDescent="0.25">
      <c r="C190" s="4" t="s">
        <v>637</v>
      </c>
    </row>
    <row r="191" spans="3:3" x14ac:dyDescent="0.25">
      <c r="C191" s="4" t="s">
        <v>638</v>
      </c>
    </row>
    <row r="192" spans="3:3" x14ac:dyDescent="0.25">
      <c r="C192" s="4" t="s">
        <v>639</v>
      </c>
    </row>
    <row r="193" spans="3:3" x14ac:dyDescent="0.25">
      <c r="C193" s="4" t="s">
        <v>640</v>
      </c>
    </row>
  </sheetData>
  <mergeCells count="1">
    <mergeCell ref="I8:I11"/>
  </mergeCell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C1:H118"/>
  <sheetViews>
    <sheetView workbookViewId="0">
      <selection activeCell="H5" sqref="H5"/>
    </sheetView>
  </sheetViews>
  <sheetFormatPr baseColWidth="10" defaultRowHeight="15" x14ac:dyDescent="0.25"/>
  <cols>
    <col min="3" max="3" width="8.42578125" style="2" customWidth="1"/>
    <col min="4" max="4" width="24.28515625" customWidth="1"/>
    <col min="6" max="6" width="25.140625" bestFit="1" customWidth="1"/>
    <col min="8" max="8" width="22" bestFit="1" customWidth="1"/>
  </cols>
  <sheetData>
    <row r="1" spans="3:8" x14ac:dyDescent="0.25">
      <c r="C1" s="1" t="s">
        <v>48</v>
      </c>
      <c r="D1" s="1" t="s">
        <v>105</v>
      </c>
      <c r="F1" s="1" t="s">
        <v>1</v>
      </c>
      <c r="H1" s="1" t="s">
        <v>120</v>
      </c>
    </row>
    <row r="2" spans="3:8" x14ac:dyDescent="0.25">
      <c r="C2" s="2" t="s">
        <v>22</v>
      </c>
      <c r="D2" s="2" t="s">
        <v>106</v>
      </c>
      <c r="F2" s="2" t="s">
        <v>6</v>
      </c>
      <c r="H2" s="2" t="s">
        <v>128</v>
      </c>
    </row>
    <row r="3" spans="3:8" x14ac:dyDescent="0.25">
      <c r="C3" s="2" t="s">
        <v>96</v>
      </c>
      <c r="D3" s="2" t="s">
        <v>107</v>
      </c>
      <c r="F3" s="2" t="s">
        <v>4</v>
      </c>
      <c r="H3" s="2" t="s">
        <v>123</v>
      </c>
    </row>
    <row r="4" spans="3:8" x14ac:dyDescent="0.25">
      <c r="C4" s="2" t="s">
        <v>103</v>
      </c>
      <c r="D4" s="2" t="s">
        <v>104</v>
      </c>
      <c r="F4" s="2" t="s">
        <v>19</v>
      </c>
      <c r="H4" s="2" t="s">
        <v>837</v>
      </c>
    </row>
    <row r="5" spans="3:8" x14ac:dyDescent="0.25">
      <c r="C5" s="2" t="s">
        <v>99</v>
      </c>
      <c r="D5" s="2" t="s">
        <v>17</v>
      </c>
      <c r="F5" s="2" t="s">
        <v>20</v>
      </c>
      <c r="H5" s="2" t="s">
        <v>121</v>
      </c>
    </row>
    <row r="6" spans="3:8" x14ac:dyDescent="0.25">
      <c r="C6" s="2" t="s">
        <v>23</v>
      </c>
      <c r="D6" s="2" t="s">
        <v>108</v>
      </c>
      <c r="F6" s="2" t="s">
        <v>308</v>
      </c>
      <c r="H6" s="2" t="s">
        <v>150</v>
      </c>
    </row>
    <row r="7" spans="3:8" x14ac:dyDescent="0.25">
      <c r="C7" s="2" t="s">
        <v>98</v>
      </c>
      <c r="D7" s="2" t="s">
        <v>109</v>
      </c>
      <c r="F7" s="2" t="s">
        <v>115</v>
      </c>
      <c r="H7" s="2" t="s">
        <v>231</v>
      </c>
    </row>
    <row r="8" spans="3:8" x14ac:dyDescent="0.25">
      <c r="C8" s="2" t="s">
        <v>25</v>
      </c>
      <c r="D8" s="2" t="s">
        <v>95</v>
      </c>
      <c r="F8" s="2" t="s">
        <v>116</v>
      </c>
      <c r="H8" s="2" t="s">
        <v>122</v>
      </c>
    </row>
    <row r="9" spans="3:8" x14ac:dyDescent="0.25">
      <c r="C9" s="2" t="s">
        <v>100</v>
      </c>
      <c r="D9" s="2"/>
      <c r="F9" s="2" t="s">
        <v>117</v>
      </c>
      <c r="H9" s="2"/>
    </row>
    <row r="10" spans="3:8" x14ac:dyDescent="0.25">
      <c r="C10" s="2" t="s">
        <v>97</v>
      </c>
      <c r="D10" s="2" t="s">
        <v>110</v>
      </c>
      <c r="F10" s="2" t="s">
        <v>118</v>
      </c>
    </row>
    <row r="11" spans="3:8" x14ac:dyDescent="0.25">
      <c r="C11" s="2" t="s">
        <v>93</v>
      </c>
      <c r="D11" s="2" t="s">
        <v>111</v>
      </c>
      <c r="F11" s="2" t="s">
        <v>119</v>
      </c>
    </row>
    <row r="12" spans="3:8" x14ac:dyDescent="0.25">
      <c r="C12"/>
    </row>
    <row r="13" spans="3:8" x14ac:dyDescent="0.25">
      <c r="C13"/>
    </row>
    <row r="14" spans="3:8" x14ac:dyDescent="0.25">
      <c r="C14"/>
    </row>
    <row r="15" spans="3:8" x14ac:dyDescent="0.25">
      <c r="C15"/>
    </row>
    <row r="16" spans="3:8" x14ac:dyDescent="0.25">
      <c r="C16"/>
    </row>
    <row r="17" spans="3:3" x14ac:dyDescent="0.25">
      <c r="C17"/>
    </row>
    <row r="18" spans="3:3" x14ac:dyDescent="0.25">
      <c r="C18"/>
    </row>
    <row r="19" spans="3:3" x14ac:dyDescent="0.25">
      <c r="C19"/>
    </row>
    <row r="20" spans="3:3" x14ac:dyDescent="0.25">
      <c r="C20"/>
    </row>
    <row r="21" spans="3:3" x14ac:dyDescent="0.25">
      <c r="C21"/>
    </row>
    <row r="22" spans="3:3" x14ac:dyDescent="0.25">
      <c r="C22"/>
    </row>
    <row r="23" spans="3:3" x14ac:dyDescent="0.25">
      <c r="C23"/>
    </row>
    <row r="24" spans="3:3" x14ac:dyDescent="0.25">
      <c r="C24"/>
    </row>
    <row r="25" spans="3:3" x14ac:dyDescent="0.25">
      <c r="C25"/>
    </row>
    <row r="26" spans="3:3" x14ac:dyDescent="0.25">
      <c r="C26"/>
    </row>
    <row r="27" spans="3:3" x14ac:dyDescent="0.25">
      <c r="C27"/>
    </row>
    <row r="28" spans="3:3" x14ac:dyDescent="0.25">
      <c r="C28"/>
    </row>
    <row r="29" spans="3:3" x14ac:dyDescent="0.25">
      <c r="C29"/>
    </row>
    <row r="30" spans="3:3" x14ac:dyDescent="0.25">
      <c r="C30"/>
    </row>
    <row r="31" spans="3:3" x14ac:dyDescent="0.25">
      <c r="C31"/>
    </row>
    <row r="32" spans="3:3" x14ac:dyDescent="0.25">
      <c r="C32"/>
    </row>
    <row r="33" spans="3:3" x14ac:dyDescent="0.25">
      <c r="C33"/>
    </row>
    <row r="34" spans="3:3" x14ac:dyDescent="0.25">
      <c r="C34"/>
    </row>
    <row r="35" spans="3:3" x14ac:dyDescent="0.25">
      <c r="C35"/>
    </row>
    <row r="36" spans="3:3" x14ac:dyDescent="0.25">
      <c r="C36"/>
    </row>
    <row r="37" spans="3:3" x14ac:dyDescent="0.25">
      <c r="C37"/>
    </row>
    <row r="38" spans="3:3" x14ac:dyDescent="0.25">
      <c r="C38"/>
    </row>
    <row r="39" spans="3:3" x14ac:dyDescent="0.25">
      <c r="C39"/>
    </row>
    <row r="40" spans="3:3" x14ac:dyDescent="0.25">
      <c r="C40"/>
    </row>
    <row r="41" spans="3:3" x14ac:dyDescent="0.25">
      <c r="C41"/>
    </row>
    <row r="42" spans="3:3" x14ac:dyDescent="0.25">
      <c r="C42"/>
    </row>
    <row r="43" spans="3:3" x14ac:dyDescent="0.25">
      <c r="C43"/>
    </row>
    <row r="44" spans="3:3" x14ac:dyDescent="0.25">
      <c r="C44"/>
    </row>
    <row r="45" spans="3:3" x14ac:dyDescent="0.25">
      <c r="C45"/>
    </row>
    <row r="46" spans="3:3" x14ac:dyDescent="0.25">
      <c r="C46"/>
    </row>
    <row r="47" spans="3:3" x14ac:dyDescent="0.25">
      <c r="C47"/>
    </row>
    <row r="48" spans="3:3"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row r="113" spans="3:3" x14ac:dyDescent="0.25">
      <c r="C113"/>
    </row>
    <row r="114" spans="3:3" x14ac:dyDescent="0.25">
      <c r="C114"/>
    </row>
    <row r="115" spans="3:3" x14ac:dyDescent="0.25">
      <c r="C115"/>
    </row>
    <row r="116" spans="3:3" x14ac:dyDescent="0.25">
      <c r="C116"/>
    </row>
    <row r="117" spans="3:3" x14ac:dyDescent="0.25">
      <c r="C117"/>
    </row>
    <row r="118" spans="3:3" x14ac:dyDescent="0.25">
      <c r="C118"/>
    </row>
  </sheetData>
  <sortState ref="H2:H9">
    <sortCondition ref="H2:H9"/>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68"/>
  <sheetViews>
    <sheetView topLeftCell="D40" workbookViewId="0">
      <selection activeCell="A6" sqref="A6"/>
    </sheetView>
  </sheetViews>
  <sheetFormatPr baseColWidth="10" defaultRowHeight="15" x14ac:dyDescent="0.25"/>
  <cols>
    <col min="1" max="1" width="23.7109375" customWidth="1"/>
    <col min="2" max="2" width="18.5703125" customWidth="1"/>
    <col min="3" max="3" width="19.5703125" bestFit="1" customWidth="1"/>
  </cols>
  <sheetData>
    <row r="1" spans="1:2" x14ac:dyDescent="0.25">
      <c r="A1" s="3" t="s">
        <v>49</v>
      </c>
      <c r="B1" t="s">
        <v>186</v>
      </c>
    </row>
    <row r="2" spans="1:2" x14ac:dyDescent="0.25">
      <c r="A2" s="4" t="s">
        <v>106</v>
      </c>
      <c r="B2" s="5">
        <v>9</v>
      </c>
    </row>
    <row r="3" spans="1:2" x14ac:dyDescent="0.25">
      <c r="A3" s="4" t="s">
        <v>107</v>
      </c>
      <c r="B3" s="5">
        <v>10</v>
      </c>
    </row>
    <row r="4" spans="1:2" x14ac:dyDescent="0.25">
      <c r="A4" s="4" t="s">
        <v>104</v>
      </c>
      <c r="B4" s="5">
        <v>18</v>
      </c>
    </row>
    <row r="5" spans="1:2" x14ac:dyDescent="0.25">
      <c r="A5" s="4" t="s">
        <v>108</v>
      </c>
      <c r="B5" s="5">
        <v>6</v>
      </c>
    </row>
    <row r="6" spans="1:2" x14ac:dyDescent="0.25">
      <c r="A6" s="4" t="s">
        <v>17</v>
      </c>
      <c r="B6" s="5">
        <v>24</v>
      </c>
    </row>
    <row r="7" spans="1:2" x14ac:dyDescent="0.25">
      <c r="A7" s="4" t="s">
        <v>109</v>
      </c>
      <c r="B7" s="5">
        <v>35</v>
      </c>
    </row>
    <row r="8" spans="1:2" x14ac:dyDescent="0.25">
      <c r="A8" s="4" t="s">
        <v>95</v>
      </c>
      <c r="B8" s="5">
        <v>40</v>
      </c>
    </row>
    <row r="9" spans="1:2" x14ac:dyDescent="0.25">
      <c r="A9" s="4" t="s">
        <v>110</v>
      </c>
      <c r="B9" s="5">
        <v>22</v>
      </c>
    </row>
    <row r="10" spans="1:2" x14ac:dyDescent="0.25">
      <c r="A10" s="4" t="s">
        <v>111</v>
      </c>
      <c r="B10" s="5">
        <v>9</v>
      </c>
    </row>
    <row r="11" spans="1:2" x14ac:dyDescent="0.25">
      <c r="A11" s="4" t="s">
        <v>50</v>
      </c>
      <c r="B11" s="5">
        <v>173</v>
      </c>
    </row>
    <row r="31" spans="1:4" x14ac:dyDescent="0.25">
      <c r="A31" s="3" t="s">
        <v>49</v>
      </c>
      <c r="B31" t="s">
        <v>187</v>
      </c>
      <c r="D31" s="22"/>
    </row>
    <row r="32" spans="1:4" x14ac:dyDescent="0.25">
      <c r="A32" s="4" t="s">
        <v>128</v>
      </c>
      <c r="B32" s="5">
        <v>3</v>
      </c>
    </row>
    <row r="33" spans="1:2" x14ac:dyDescent="0.25">
      <c r="A33" s="4" t="s">
        <v>121</v>
      </c>
      <c r="B33" s="5">
        <v>58</v>
      </c>
    </row>
    <row r="34" spans="1:2" x14ac:dyDescent="0.25">
      <c r="A34" s="4" t="s">
        <v>150</v>
      </c>
      <c r="B34" s="5">
        <v>5</v>
      </c>
    </row>
    <row r="35" spans="1:2" x14ac:dyDescent="0.25">
      <c r="A35" s="4" t="s">
        <v>122</v>
      </c>
      <c r="B35" s="5">
        <v>3</v>
      </c>
    </row>
    <row r="36" spans="1:2" x14ac:dyDescent="0.25">
      <c r="A36" s="4" t="s">
        <v>231</v>
      </c>
      <c r="B36" s="5">
        <v>10</v>
      </c>
    </row>
    <row r="37" spans="1:2" x14ac:dyDescent="0.25">
      <c r="A37" s="4" t="s">
        <v>123</v>
      </c>
      <c r="B37" s="5">
        <v>22</v>
      </c>
    </row>
    <row r="38" spans="1:2" x14ac:dyDescent="0.25">
      <c r="A38" s="4" t="s">
        <v>837</v>
      </c>
      <c r="B38" s="5">
        <v>72</v>
      </c>
    </row>
    <row r="39" spans="1:2" x14ac:dyDescent="0.25">
      <c r="A39" s="4" t="s">
        <v>50</v>
      </c>
      <c r="B39" s="5">
        <v>173</v>
      </c>
    </row>
    <row r="46" spans="1:2" s="38" customFormat="1" x14ac:dyDescent="0.25"/>
    <row r="47" spans="1:2" s="38" customFormat="1" x14ac:dyDescent="0.25">
      <c r="A47"/>
      <c r="B47"/>
    </row>
    <row r="48" spans="1:2" s="38" customFormat="1" x14ac:dyDescent="0.25">
      <c r="A48" s="3" t="s">
        <v>120</v>
      </c>
      <c r="B48" s="38" t="s">
        <v>837</v>
      </c>
    </row>
    <row r="49" spans="1:2" s="38" customFormat="1" x14ac:dyDescent="0.25">
      <c r="A49"/>
      <c r="B49"/>
    </row>
    <row r="50" spans="1:2" s="38" customFormat="1" x14ac:dyDescent="0.25">
      <c r="A50" s="3" t="s">
        <v>49</v>
      </c>
      <c r="B50" t="s">
        <v>186</v>
      </c>
    </row>
    <row r="51" spans="1:2" s="38" customFormat="1" x14ac:dyDescent="0.25">
      <c r="A51" s="4" t="s">
        <v>106</v>
      </c>
      <c r="B51" s="5">
        <v>7</v>
      </c>
    </row>
    <row r="52" spans="1:2" s="38" customFormat="1" x14ac:dyDescent="0.25">
      <c r="A52" s="4" t="s">
        <v>107</v>
      </c>
      <c r="B52" s="5">
        <v>5</v>
      </c>
    </row>
    <row r="53" spans="1:2" s="38" customFormat="1" x14ac:dyDescent="0.25">
      <c r="A53" s="4" t="s">
        <v>104</v>
      </c>
      <c r="B53" s="5">
        <v>1</v>
      </c>
    </row>
    <row r="54" spans="1:2" s="38" customFormat="1" x14ac:dyDescent="0.25">
      <c r="A54" s="4" t="s">
        <v>108</v>
      </c>
      <c r="B54" s="5">
        <v>5</v>
      </c>
    </row>
    <row r="55" spans="1:2" s="38" customFormat="1" x14ac:dyDescent="0.25">
      <c r="A55" s="4" t="s">
        <v>17</v>
      </c>
      <c r="B55" s="5">
        <v>5</v>
      </c>
    </row>
    <row r="56" spans="1:2" s="38" customFormat="1" x14ac:dyDescent="0.25">
      <c r="A56" s="4" t="s">
        <v>109</v>
      </c>
      <c r="B56" s="5">
        <v>7</v>
      </c>
    </row>
    <row r="57" spans="1:2" s="38" customFormat="1" x14ac:dyDescent="0.25">
      <c r="A57" s="4" t="s">
        <v>95</v>
      </c>
      <c r="B57" s="5">
        <v>26</v>
      </c>
    </row>
    <row r="58" spans="1:2" s="38" customFormat="1" x14ac:dyDescent="0.25">
      <c r="A58" s="4" t="s">
        <v>110</v>
      </c>
      <c r="B58" s="5">
        <v>14</v>
      </c>
    </row>
    <row r="59" spans="1:2" s="38" customFormat="1" x14ac:dyDescent="0.25">
      <c r="A59" s="4" t="s">
        <v>111</v>
      </c>
      <c r="B59" s="5">
        <v>2</v>
      </c>
    </row>
    <row r="60" spans="1:2" s="38" customFormat="1" x14ac:dyDescent="0.25">
      <c r="A60" s="4" t="s">
        <v>50</v>
      </c>
      <c r="B60" s="5">
        <v>72</v>
      </c>
    </row>
    <row r="61" spans="1:2" s="38" customFormat="1" x14ac:dyDescent="0.25"/>
    <row r="62" spans="1:2" s="38" customFormat="1" x14ac:dyDescent="0.25"/>
    <row r="63" spans="1:2" s="38" customFormat="1" x14ac:dyDescent="0.25"/>
    <row r="64" spans="1:2" s="38" customFormat="1" x14ac:dyDescent="0.25"/>
    <row r="65" s="38" customFormat="1" x14ac:dyDescent="0.25"/>
    <row r="66" s="38" customFormat="1" x14ac:dyDescent="0.25"/>
    <row r="67" s="38" customFormat="1" x14ac:dyDescent="0.25"/>
    <row r="68" s="38" customFormat="1" x14ac:dyDescent="0.25"/>
  </sheetData>
  <pageMargins left="0.7" right="0.7" top="0.75" bottom="0.75" header="0.3" footer="0.3"/>
  <pageSetup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RelDocs</vt:lpstr>
      <vt:lpstr>Ficha</vt:lpstr>
      <vt:lpstr>Imprimir</vt:lpstr>
      <vt:lpstr>ListaValores</vt:lpstr>
      <vt:lpstr>Graficos</vt:lpstr>
      <vt:lpstr>Ficha!Área_de_impresión</vt:lpstr>
    </vt:vector>
  </TitlesOfParts>
  <Company>everis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Romera Martinez</dc:creator>
  <cp:lastModifiedBy>Oscar Romera Martinez</cp:lastModifiedBy>
  <cp:lastPrinted>2016-05-12T17:54:59Z</cp:lastPrinted>
  <dcterms:created xsi:type="dcterms:W3CDTF">2016-02-01T12:38:11Z</dcterms:created>
  <dcterms:modified xsi:type="dcterms:W3CDTF">2016-10-06T15:45:03Z</dcterms:modified>
</cp:coreProperties>
</file>